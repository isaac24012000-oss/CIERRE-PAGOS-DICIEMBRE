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AGOS DICIEMBRE\"/>
    </mc:Choice>
  </mc:AlternateContent>
  <xr:revisionPtr revIDLastSave="0" documentId="13_ncr:1_{9B17ABB9-B401-4F8E-A964-2409CDBC799E}" xr6:coauthVersionLast="47" xr6:coauthVersionMax="47" xr10:uidLastSave="{00000000-0000-0000-0000-000000000000}"/>
  <bookViews>
    <workbookView xWindow="28680" yWindow="-120" windowWidth="29040" windowHeight="15720" xr2:uid="{6D111AC9-F4B5-4EE1-9519-BE4E4E92E24D}"/>
  </bookViews>
  <sheets>
    <sheet name="Hoja1" sheetId="1" r:id="rId1"/>
  </sheets>
  <definedNames>
    <definedName name="_xlnm._FilterDatabase" localSheetId="0" hidden="1">Hoja1!$A$1:$Q$135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6" i="1" l="1"/>
  <c r="J2" i="1"/>
  <c r="K2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/>
  <c r="J13" i="1"/>
  <c r="K13" i="1" s="1"/>
  <c r="J14" i="1"/>
  <c r="K14" i="1"/>
  <c r="J15" i="1"/>
  <c r="K15" i="1" s="1"/>
  <c r="J16" i="1"/>
  <c r="K16" i="1" s="1"/>
  <c r="J17" i="1"/>
  <c r="K17" i="1" s="1"/>
  <c r="J18" i="1"/>
  <c r="K18" i="1" s="1"/>
  <c r="J19" i="1"/>
  <c r="K19" i="1"/>
  <c r="J20" i="1"/>
  <c r="K20" i="1" s="1"/>
  <c r="J21" i="1"/>
  <c r="K21" i="1"/>
  <c r="J22" i="1"/>
  <c r="K22" i="1"/>
  <c r="J23" i="1"/>
  <c r="K23" i="1"/>
  <c r="J24" i="1"/>
  <c r="K24" i="1" s="1"/>
  <c r="J25" i="1"/>
  <c r="K25" i="1" s="1"/>
  <c r="J26" i="1"/>
  <c r="K26" i="1" s="1"/>
  <c r="J27" i="1"/>
  <c r="K27" i="1" s="1"/>
  <c r="J28" i="1"/>
  <c r="K28" i="1"/>
  <c r="J29" i="1"/>
  <c r="K29" i="1"/>
  <c r="J30" i="1"/>
  <c r="K30" i="1"/>
  <c r="J31" i="1"/>
  <c r="K31" i="1"/>
  <c r="J32" i="1"/>
  <c r="K32" i="1" s="1"/>
  <c r="J33" i="1"/>
  <c r="K33" i="1" s="1"/>
  <c r="J34" i="1"/>
  <c r="K34" i="1"/>
  <c r="J35" i="1"/>
  <c r="K35" i="1" s="1"/>
  <c r="J36" i="1"/>
  <c r="K36" i="1" s="1"/>
  <c r="J37" i="1"/>
  <c r="K37" i="1"/>
  <c r="J38" i="1"/>
  <c r="K38" i="1"/>
  <c r="J39" i="1"/>
  <c r="K39" i="1"/>
  <c r="J40" i="1"/>
  <c r="K40" i="1" s="1"/>
  <c r="J41" i="1"/>
  <c r="K41" i="1" s="1"/>
  <c r="J42" i="1"/>
  <c r="K42" i="1"/>
  <c r="J43" i="1"/>
  <c r="K43" i="1" s="1"/>
  <c r="J44" i="1"/>
  <c r="K44" i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/>
  <c r="J53" i="1"/>
  <c r="K53" i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/>
  <c r="J64" i="1"/>
  <c r="K64" i="1" s="1"/>
  <c r="J65" i="1"/>
  <c r="K65" i="1"/>
  <c r="J66" i="1"/>
  <c r="K66" i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/>
  <c r="J75" i="1"/>
  <c r="K75" i="1"/>
  <c r="J76" i="1"/>
  <c r="K76" i="1"/>
  <c r="J77" i="1"/>
  <c r="K77" i="1"/>
  <c r="J78" i="1"/>
  <c r="K78" i="1" s="1"/>
  <c r="J79" i="1"/>
  <c r="K79" i="1" s="1"/>
  <c r="J80" i="1"/>
  <c r="K80" i="1" s="1"/>
  <c r="J81" i="1"/>
  <c r="K81" i="1" s="1"/>
  <c r="J82" i="1"/>
  <c r="K82" i="1"/>
  <c r="J83" i="1"/>
  <c r="K83" i="1"/>
  <c r="J84" i="1"/>
  <c r="K84" i="1" s="1"/>
  <c r="J85" i="1"/>
  <c r="K85" i="1"/>
  <c r="J86" i="1"/>
  <c r="K86" i="1" s="1"/>
  <c r="J87" i="1"/>
  <c r="K87" i="1" s="1"/>
  <c r="J88" i="1"/>
  <c r="K88" i="1"/>
  <c r="J89" i="1"/>
  <c r="K89" i="1" s="1"/>
  <c r="J90" i="1"/>
  <c r="K90" i="1" s="1"/>
  <c r="J91" i="1"/>
  <c r="K91" i="1"/>
  <c r="J92" i="1"/>
  <c r="K92" i="1"/>
  <c r="J93" i="1"/>
  <c r="K93" i="1" s="1"/>
  <c r="J94" i="1"/>
  <c r="K94" i="1" s="1"/>
  <c r="J95" i="1"/>
  <c r="K95" i="1" s="1"/>
  <c r="J96" i="1"/>
  <c r="K96" i="1"/>
  <c r="J97" i="1"/>
  <c r="K97" i="1" s="1"/>
  <c r="J98" i="1"/>
  <c r="K98" i="1"/>
  <c r="J99" i="1"/>
  <c r="K99" i="1" s="1"/>
  <c r="J100" i="1"/>
  <c r="K100" i="1" s="1"/>
  <c r="J101" i="1"/>
  <c r="K101" i="1"/>
  <c r="J102" i="1"/>
  <c r="K102" i="1" s="1"/>
  <c r="J103" i="1"/>
  <c r="K103" i="1" s="1"/>
  <c r="J104" i="1"/>
  <c r="K104" i="1"/>
  <c r="J105" i="1"/>
  <c r="K105" i="1" s="1"/>
  <c r="J106" i="1"/>
  <c r="K106" i="1"/>
  <c r="J107" i="1"/>
  <c r="K107" i="1"/>
  <c r="J108" i="1"/>
  <c r="K108" i="1"/>
  <c r="J109" i="1"/>
  <c r="K109" i="1" s="1"/>
  <c r="J110" i="1"/>
  <c r="K110" i="1" s="1"/>
  <c r="J111" i="1"/>
  <c r="K111" i="1" s="1"/>
  <c r="J112" i="1"/>
  <c r="K112" i="1"/>
  <c r="J113" i="1"/>
  <c r="K113" i="1" s="1"/>
  <c r="J114" i="1"/>
  <c r="K114" i="1"/>
  <c r="J115" i="1"/>
  <c r="K115" i="1"/>
  <c r="J116" i="1"/>
  <c r="K116" i="1"/>
  <c r="J117" i="1"/>
  <c r="K117" i="1"/>
  <c r="J118" i="1"/>
  <c r="K118" i="1" s="1"/>
  <c r="J119" i="1"/>
  <c r="K119" i="1" s="1"/>
  <c r="J120" i="1"/>
  <c r="K120" i="1" s="1"/>
  <c r="J121" i="1"/>
  <c r="K121" i="1" s="1"/>
  <c r="J122" i="1"/>
  <c r="K122" i="1"/>
  <c r="J123" i="1"/>
  <c r="K123" i="1"/>
  <c r="J124" i="1"/>
  <c r="K124" i="1"/>
  <c r="J125" i="1"/>
  <c r="K125" i="1"/>
  <c r="J126" i="1"/>
  <c r="K126" i="1" s="1"/>
  <c r="J127" i="1"/>
  <c r="K127" i="1" s="1"/>
  <c r="J128" i="1"/>
  <c r="K128" i="1"/>
  <c r="J129" i="1"/>
  <c r="K129" i="1" s="1"/>
  <c r="J130" i="1"/>
  <c r="K130" i="1" s="1"/>
  <c r="J131" i="1"/>
  <c r="K131" i="1"/>
  <c r="J132" i="1"/>
  <c r="K132" i="1"/>
  <c r="J133" i="1"/>
  <c r="K133" i="1"/>
  <c r="J134" i="1"/>
  <c r="K134" i="1" s="1"/>
  <c r="J135" i="1"/>
  <c r="K135" i="1" s="1"/>
  <c r="J136" i="1" l="1"/>
  <c r="K136" i="1"/>
</calcChain>
</file>

<file path=xl/sharedStrings.xml><?xml version="1.0" encoding="utf-8"?>
<sst xmlns="http://schemas.openxmlformats.org/spreadsheetml/2006/main" count="823" uniqueCount="296">
  <si>
    <t>ID_OBLIGACION</t>
  </si>
  <si>
    <t>ASESOR</t>
  </si>
  <si>
    <t>CAMPANA</t>
  </si>
  <si>
    <t>CARTERA</t>
  </si>
  <si>
    <t>SUBCARTERA</t>
  </si>
  <si>
    <t>RUC_DNI</t>
  </si>
  <si>
    <t>RAZON_SOCIAL</t>
  </si>
  <si>
    <t>OPERACION</t>
  </si>
  <si>
    <t>FECHA_DE_PAGO</t>
  </si>
  <si>
    <t>MONTO</t>
  </si>
  <si>
    <t>ESTADO_PLANILLA</t>
  </si>
  <si>
    <t>PLANILLAS_PAGADAS</t>
  </si>
  <si>
    <t>PLANILLAS_VIGENTES</t>
  </si>
  <si>
    <t>CORREO_FACTURA</t>
  </si>
  <si>
    <t>NUMERO_FACTURA</t>
  </si>
  <si>
    <t>LAURA VILLANUEVA</t>
  </si>
  <si>
    <t>PREJUDICIAL FLUJO</t>
  </si>
  <si>
    <t>PRIMA_AFP_PREJUDICIAL_FLUJO</t>
  </si>
  <si>
    <t>PARCIAL</t>
  </si>
  <si>
    <t>TOTAL</t>
  </si>
  <si>
    <t>CHERRY MATSON</t>
  </si>
  <si>
    <t>REDIRECCIONAMIENTO</t>
  </si>
  <si>
    <t>PRIMA_AFP_REDIRECCIONAMIENTO</t>
  </si>
  <si>
    <t>SANDRA BENAVIDES</t>
  </si>
  <si>
    <t>CARLA CASTILLO</t>
  </si>
  <si>
    <t>NOVIEMBRE WORLD 2025</t>
  </si>
  <si>
    <t>202508|202509</t>
  </si>
  <si>
    <t>COPY FAST TECH S.A.C.</t>
  </si>
  <si>
    <t>201201|201202|201203|201205|201206|201207|201208|201209|201211|201212</t>
  </si>
  <si>
    <t>201101|201102|201103|201105|201106|201107|201108|201109|201111|201112|201301|201302|201303|201305|201306|201307|201308|201309|201311|201312|201401|201</t>
  </si>
  <si>
    <t>CESAR ASTUPINARO</t>
  </si>
  <si>
    <t>F001-00034936</t>
  </si>
  <si>
    <t>VALOR VENTA</t>
  </si>
  <si>
    <t>IGV</t>
  </si>
  <si>
    <t>ROMIFER E.I.R.L.</t>
  </si>
  <si>
    <t>ASOCIACION DE POBLADORES DEL PUEBLO JOVEN VIÑA ALTA LA MOLINA</t>
  </si>
  <si>
    <t>ZANE DISTRIBUCIONES S.A.C.</t>
  </si>
  <si>
    <t>INVERSIONES KINTU CUSCO E.I.R.L.</t>
  </si>
  <si>
    <t>W &amp; A SUMINISTROS E INSTALACIONES CONTRA INCENDIOS E.I.R.L.</t>
  </si>
  <si>
    <t>HISPANATURA S.A.C.</t>
  </si>
  <si>
    <t>METROLOGIA &amp; CALIDAD PERU S.A.C. - MECALPE S.A.C.</t>
  </si>
  <si>
    <t>MULTISERVICIOS EXPRESO DEL SUR SOCIEDAD ANONIMA CERRADA</t>
  </si>
  <si>
    <t>GRUPO JH SEGURIDAD SOCIEDAD ANONIMA CERRADA</t>
  </si>
  <si>
    <t>BOTICA DERMA PERU S Y S S.A.C.</t>
  </si>
  <si>
    <t>CASA MATUK S.R.L.</t>
  </si>
  <si>
    <t>EMPRESA DE SEGURIDAD TONY &amp; EA S.A.C.</t>
  </si>
  <si>
    <t>GUSTOS MARY SOCIEDAD ANONIMA CERRADA</t>
  </si>
  <si>
    <t>INSTITUCION EDUCATIVA NUESTRA SEÑORA DE LA ASUNTA S.R.L. - IENSA S.R.L.</t>
  </si>
  <si>
    <t>LESLY ZARATE</t>
  </si>
  <si>
    <t>CONSORCIO EJECUTOR SUNEC</t>
  </si>
  <si>
    <t>EMPRESA CONSTRUCTORA FORCON SOCIEDAD ANONIMA CERRADA</t>
  </si>
  <si>
    <t>EMPRESA DE TRANSPORTES HILDA S.A.C.</t>
  </si>
  <si>
    <t>LA TAULA FOOD S.R.L.</t>
  </si>
  <si>
    <t>DICIEMBRE WORLD 2025</t>
  </si>
  <si>
    <t>J Y D CONSULTORES SOCIEDAD ANONIMA CERRADA - J Y D CONSULTORES S.A.C.</t>
  </si>
  <si>
    <t>SERVICIO DE CALIBRACIÓN Y LABORATORIO S.A.C.</t>
  </si>
  <si>
    <t>anthony@garre.com.pe</t>
  </si>
  <si>
    <t>PILAR LAZO</t>
  </si>
  <si>
    <t>F001-00035062</t>
  </si>
  <si>
    <t>CUBA MAMANI PAOLA ANDREA</t>
  </si>
  <si>
    <t>LATORRE CONDORI CASIO</t>
  </si>
  <si>
    <t>ALEJANDRO SANCHEZ</t>
  </si>
  <si>
    <t>katherune</t>
  </si>
  <si>
    <t>RAMIREZ CUBAS JOSE VICTOR</t>
  </si>
  <si>
    <t>MARITZA</t>
  </si>
  <si>
    <t>alidacarhuas@hotmail.com</t>
  </si>
  <si>
    <t>gloria</t>
  </si>
  <si>
    <t>CARRANZA CHILMAZA JORGE LUIS</t>
  </si>
  <si>
    <t>TRANSPORTES Y MANIOBRAS S.C.R.L.</t>
  </si>
  <si>
    <t>BUSY BIZ SOLUTIONS S.A.C.</t>
  </si>
  <si>
    <t>DORAL SOLUCIONES PERU E.I.R.L.</t>
  </si>
  <si>
    <t>HINOSTROZA GOMEZ JOSE</t>
  </si>
  <si>
    <t>BONILLA PEREZ JHON ARMANDO</t>
  </si>
  <si>
    <t>MAMANI MOGROVEJO RONDOLFO</t>
  </si>
  <si>
    <t>encargado de pago</t>
  </si>
  <si>
    <t>NARVAEZ YSELA MIRIAM</t>
  </si>
  <si>
    <t>RABANAL MISARI ANA MARIA</t>
  </si>
  <si>
    <t>FAMIP INDUSTRIAL S.A.C.</t>
  </si>
  <si>
    <t>REPRESENTACIONES E &amp; N PALOMINO S.A.C.</t>
  </si>
  <si>
    <t>CITEC SERVICES PERU S.A.C.</t>
  </si>
  <si>
    <t>FLORES CRUZ EQUIPAMIENTO MEDICO HOSPITALARIO S.A.C. - FC EQUIPAMIENTO MEDICO S.A.C.</t>
  </si>
  <si>
    <t>DEUDA REAL TOTAL</t>
  </si>
  <si>
    <t>PRIMA_AFP_DEUDA_REAL_TOTAL</t>
  </si>
  <si>
    <t>CLUB DE AREQUIPA</t>
  </si>
  <si>
    <t>CONSTRUCTORA CUSA S.A.C. CONTRATISTAS GE NERALES</t>
  </si>
  <si>
    <t>SOLUTION SERVICIOS GENERALES E.I.R.L.</t>
  </si>
  <si>
    <t>GINOR EMPRESA INDIVIDUAL DE RESPONSABILIDAD LIMITA</t>
  </si>
  <si>
    <t>JC &amp; R INGENIERIA Y CONSTRUCCION S.A.C.</t>
  </si>
  <si>
    <t>ASOCIACION DE CAPITANES DE NAVIO CORONELES DE LAS FUERZAS ARMADAS Y POLICIA NACIONAL EN SITUACION DE</t>
  </si>
  <si>
    <t>CARMEN NIÑO</t>
  </si>
  <si>
    <t>PRESUNTA</t>
  </si>
  <si>
    <t>PRIMA_AFP_PRESUNTA</t>
  </si>
  <si>
    <t>CONSTRUCTORA ESAFIN S.A.C.</t>
  </si>
  <si>
    <t>SERVICIOS MOBILES INTERNACIONALES SOCIEDAD ANONIMA CERRADA</t>
  </si>
  <si>
    <t>GRUPO SAIM E.I.R.L</t>
  </si>
  <si>
    <t>P &amp; J DISTRIBUIDORA S.A.C.</t>
  </si>
  <si>
    <t>PROVEEDORES Y SERVICIOS INDUSTRIALES PSI E.I.R.L.</t>
  </si>
  <si>
    <t>REYES CANALES ALAN CARLOS</t>
  </si>
  <si>
    <t>COSMOPOLITAN PERU S.A.C</t>
  </si>
  <si>
    <t>TRANSPORTES YTUZA EMPRESA INDIVIDUAL DE RESPONSABILIDAD LIMITADA - TRANSPORTES YTUZA E.I.R.L.</t>
  </si>
  <si>
    <t>ELECTROMECANICA JN S.A.C.</t>
  </si>
  <si>
    <t>REALBUR S.R.L.</t>
  </si>
  <si>
    <t>INCUBADORA SANTA SOFIA SOCIEDAD ANONIMA CERRADA</t>
  </si>
  <si>
    <t>AC PROLOGISTIC DEL PERU SAC</t>
  </si>
  <si>
    <t>EFINERGY CONSULTORA DEL PERU E.I.R.L. - EFINERGY CONSULTORA E.I.R.L.</t>
  </si>
  <si>
    <t>GRUPO NEWTON PARAISO S.A.C.</t>
  </si>
  <si>
    <t>VIDALAB CORPORATION S.A.C.</t>
  </si>
  <si>
    <t>ADG ARQUITECTURA Y CONSTRUCCION S.A.C.</t>
  </si>
  <si>
    <t>GRUPO H Y S S.R.L.</t>
  </si>
  <si>
    <t>H TORRES CONSULTORES &amp; CONSTRUCTORES E.I.R.L.</t>
  </si>
  <si>
    <t>ELECTRONICA INDUSTRIAL 2H E.I.R.L.</t>
  </si>
  <si>
    <t>CONTRATO PUENTE GRANADA</t>
  </si>
  <si>
    <t>DISTRIBUIDORA DE PERNOS DEL NORTE SRLTDA</t>
  </si>
  <si>
    <t>GRUPO ACP INVERSIONES Y DESARROLLO</t>
  </si>
  <si>
    <t>SARAVIA OLIVER MARTHA ESTHER ANGELA MILAGROS</t>
  </si>
  <si>
    <t>GRUPO BIOTECH S.A.C.</t>
  </si>
  <si>
    <t>MUNAY &amp;FAM SOCIEDAD ANONIMA CERRADA</t>
  </si>
  <si>
    <t>MEDICAL GROUP LRG E.I.R.L.</t>
  </si>
  <si>
    <t>HOLDING E INVERSIONES CHYP E.I.R.L.</t>
  </si>
  <si>
    <t>CORREA YAJAHUANCA OTILIO</t>
  </si>
  <si>
    <t>MANUFACTURAS YANVAR S.A.C.</t>
  </si>
  <si>
    <t>TRANSPORTES SANTO DOMINGO ICA SOCIEDAD ANONIMA CERRADA</t>
  </si>
  <si>
    <t>ESPARTA CONSTRUCTORES S.A.</t>
  </si>
  <si>
    <t>SOCIEDAD MINERA EL TRIUNFO S.A.</t>
  </si>
  <si>
    <t>RONESK S.A.C.</t>
  </si>
  <si>
    <t>SIMONS &amp; DE NORIEGA ABOGADOS SOCIEDAD CIVIL DE RESPONSABILIDAD LIMITADA-SIMONS &amp; DE NORIEGA S. CIVIL</t>
  </si>
  <si>
    <t>GRUPO INMOBILIARIO PRO PERU S.A.C.</t>
  </si>
  <si>
    <t>ALKHA &amp; CIA S.A.C.</t>
  </si>
  <si>
    <t>INVERSIONES TRANSPORTES &amp; SERVICIOS GENERALES ARARAT EMPRESA INDIVIDUAL DE RESPONSABILIDAD LIMITADA</t>
  </si>
  <si>
    <t>EMI GROUP PERU E.I.R.L.</t>
  </si>
  <si>
    <t>FORESTALES DAXSA E.I.R.L.</t>
  </si>
  <si>
    <t>CENTRO ODONTOLOGICO MINI SONRISAS E.I.R.L.</t>
  </si>
  <si>
    <t>PUBLICIDAD DEPORTIVA S.A.C.</t>
  </si>
  <si>
    <t>BONANZAS MARINAS E.I.R.L.</t>
  </si>
  <si>
    <t>PADILLA &amp; PORTUGAL CONSTRUCTORES E.I.R.L.</t>
  </si>
  <si>
    <t>ALVARADO CAMPOS FAUSTINO FRANCISCO</t>
  </si>
  <si>
    <t>ESLAVA PARRA YIDDA BEATRIZ</t>
  </si>
  <si>
    <t>TEJAS Y CHOCOTEJAS SRA. BUENDIA S.A.C.</t>
  </si>
  <si>
    <t>PERU CAPITAL CIEN S.A.C</t>
  </si>
  <si>
    <t>MARSA &amp; INFRAESTRUCTURAS S.A.C.</t>
  </si>
  <si>
    <t>DIAZ PIZANGO CESAR</t>
  </si>
  <si>
    <t>DISTRIBUIDORA Y SERVICIOS MULTIPLES FAGRE.A S.R.L.</t>
  </si>
  <si>
    <t>SERVICIOS GENERALES GILBERTO SOCIEDD ANONIMA CERRADA-SERVICIOS GENERALES GILBERTO S.A.C.</t>
  </si>
  <si>
    <t>ECOFINA P &amp; G DIORGANIC E.I.R.L..</t>
  </si>
  <si>
    <t>OBRICOM YPK S.A.</t>
  </si>
  <si>
    <t>VLC SERVICIOS MEDICOS S.A.C.</t>
  </si>
  <si>
    <t>CONSTRUCTORA Y SERVICIOS GENERALES PAMAR S.A.C.</t>
  </si>
  <si>
    <t>TRANSPORTES MOCHICA E.I.R.L.</t>
  </si>
  <si>
    <t>EL ASADOR CARNES AL CILINDRO S.R.L.</t>
  </si>
  <si>
    <t>PEÑA HERNANDEZ MARCOS JAHIR</t>
  </si>
  <si>
    <t>HR INNOVA S.A.C.</t>
  </si>
  <si>
    <t>JUAN FELIX</t>
  </si>
  <si>
    <t>MUELLES OPERADOR LOGISTICO S.A.C.</t>
  </si>
  <si>
    <t>CONSTRUCTORA ARQCO S.R.L.</t>
  </si>
  <si>
    <t>INSTITUTO DE CIENCIAS MEDICAS DEL SUR S.A.C.</t>
  </si>
  <si>
    <t>INMOBILIARIA EBENEZER AMERICA E.I.R.L.</t>
  </si>
  <si>
    <t>NATURAL BEAUTY IMPORT S.A.C.</t>
  </si>
  <si>
    <t>FLUIDMAN E.I.R.L.</t>
  </si>
  <si>
    <t>F001-00035349</t>
  </si>
  <si>
    <t>F001-00035376</t>
  </si>
  <si>
    <t>F001-00035362</t>
  </si>
  <si>
    <t>F001-00035351</t>
  </si>
  <si>
    <t>F001-00035365</t>
  </si>
  <si>
    <t>F001-00035355</t>
  </si>
  <si>
    <t>F001-00035390</t>
  </si>
  <si>
    <t>F001-00035403</t>
  </si>
  <si>
    <t>F001-00035429</t>
  </si>
  <si>
    <t>F001-00035416</t>
  </si>
  <si>
    <t>F001-00035418</t>
  </si>
  <si>
    <t>F001-00035419</t>
  </si>
  <si>
    <t>F001-00035414</t>
  </si>
  <si>
    <t>F001-00035435</t>
  </si>
  <si>
    <t>F001-00035449</t>
  </si>
  <si>
    <t>F001-00035461</t>
  </si>
  <si>
    <t>F001-00035475</t>
  </si>
  <si>
    <t>F001-00035516</t>
  </si>
  <si>
    <t>F001-00035488</t>
  </si>
  <si>
    <t>F001-00035566</t>
  </si>
  <si>
    <t>F001-00035640</t>
  </si>
  <si>
    <t>F001-00035561</t>
  </si>
  <si>
    <t>F001-00035567</t>
  </si>
  <si>
    <t>202507|202508|202509|202510</t>
  </si>
  <si>
    <t>F001-00035563</t>
  </si>
  <si>
    <t>ARIANA (EP)</t>
  </si>
  <si>
    <t>F001-00035642</t>
  </si>
  <si>
    <t>201401|201402|201403|201405|201406|201407|201408|201409|201411|201412|201501|201502|201503|201505</t>
  </si>
  <si>
    <t>201101|201102|201103|201105|201106|201107|201108|201109|201111|201112|201301|201302|201303|201305|201306|201307|201308|201309|201311|201312</t>
  </si>
  <si>
    <t>F001-00035808</t>
  </si>
  <si>
    <t>F001-00035653</t>
  </si>
  <si>
    <t>202509|202510</t>
  </si>
  <si>
    <t>F001-00035655</t>
  </si>
  <si>
    <t>DOTTY GARCIA</t>
  </si>
  <si>
    <t>F001-00035656</t>
  </si>
  <si>
    <t>F001-00035661</t>
  </si>
  <si>
    <t>F001-00035676</t>
  </si>
  <si>
    <t>F001-00035677</t>
  </si>
  <si>
    <t>ORIANA</t>
  </si>
  <si>
    <t>F001-00035681</t>
  </si>
  <si>
    <t>200709|200711|200712|200801|200802|200803|200805|200806|200807|200808|200809|200811|200812|200901|200902|200903|200905|200906|200907|200908|200909|200</t>
  </si>
  <si>
    <t>201107|201109|201110|201111|201112|201201|201203|201204|201205|201206|201208|201210</t>
  </si>
  <si>
    <t>F001-00035809</t>
  </si>
  <si>
    <t>F001-00035685</t>
  </si>
  <si>
    <t>VICTOR GARRIDO</t>
  </si>
  <si>
    <t>F001-00035717</t>
  </si>
  <si>
    <t>F001-00035732</t>
  </si>
  <si>
    <t>F001-00035737</t>
  </si>
  <si>
    <t>RUTH</t>
  </si>
  <si>
    <t>F001-00035766</t>
  </si>
  <si>
    <t>ALDAIR</t>
  </si>
  <si>
    <t>F001-00035772</t>
  </si>
  <si>
    <t>OSCAR GUEVARA</t>
  </si>
  <si>
    <t>F001-00035773</t>
  </si>
  <si>
    <t>KATERIN</t>
  </si>
  <si>
    <t>F001-00035774</t>
  </si>
  <si>
    <t>CARLOS</t>
  </si>
  <si>
    <t>F001-00035777</t>
  </si>
  <si>
    <t>F001-00035778</t>
  </si>
  <si>
    <t>F001-00035784</t>
  </si>
  <si>
    <t>estudiocontable_campos@hotmail.com</t>
  </si>
  <si>
    <t>F001-00035793</t>
  </si>
  <si>
    <t>F001-00035794</t>
  </si>
  <si>
    <t>YRMA</t>
  </si>
  <si>
    <t>F001-00035819</t>
  </si>
  <si>
    <t>PONCE ROJAS JORDY JULER</t>
  </si>
  <si>
    <t>F001-00035821</t>
  </si>
  <si>
    <t>KELLY</t>
  </si>
  <si>
    <t>F001-00035826</t>
  </si>
  <si>
    <t>VERONICA</t>
  </si>
  <si>
    <t>F001-00035833</t>
  </si>
  <si>
    <t>JEAN PIERRE ARELLANO</t>
  </si>
  <si>
    <t>F001-00035839</t>
  </si>
  <si>
    <t>HILDA VILLAVICENCIO</t>
  </si>
  <si>
    <t>F001-00035840</t>
  </si>
  <si>
    <t>F001-00035850</t>
  </si>
  <si>
    <t>F001-00035851</t>
  </si>
  <si>
    <t>SALON NOVOA ROSA JHERALIT</t>
  </si>
  <si>
    <t>F001-00035897</t>
  </si>
  <si>
    <t>F001-00035861</t>
  </si>
  <si>
    <t>F001-00035907</t>
  </si>
  <si>
    <t>SARAVIA OLIVER MARTHA ESTHER</t>
  </si>
  <si>
    <t>F001-00035908</t>
  </si>
  <si>
    <t>F001-00035917</t>
  </si>
  <si>
    <t>202503|202504|202505|202506</t>
  </si>
  <si>
    <t>F001-00035870</t>
  </si>
  <si>
    <t>F001-00035873</t>
  </si>
  <si>
    <t>F001-00035874</t>
  </si>
  <si>
    <t>202508|202509|202510</t>
  </si>
  <si>
    <t>WILLIAM RUIZ</t>
  </si>
  <si>
    <t>F001-00035875</t>
  </si>
  <si>
    <t>manufacturasyanvar@gmail.com</t>
  </si>
  <si>
    <t>F001-00035878</t>
  </si>
  <si>
    <t>F001-00035880</t>
  </si>
  <si>
    <t>F001-00035883</t>
  </si>
  <si>
    <t>F001-00035892</t>
  </si>
  <si>
    <t>EDITH GUTIERREZ</t>
  </si>
  <si>
    <t>F001-00035893</t>
  </si>
  <si>
    <t>F001-00035896</t>
  </si>
  <si>
    <t>CONTRERAS ARIZAPANA ALEJANDRO ALLEN</t>
  </si>
  <si>
    <t>F001-00035923</t>
  </si>
  <si>
    <t>F001-00035927</t>
  </si>
  <si>
    <t>F001-00035934</t>
  </si>
  <si>
    <t>F001-00035935</t>
  </si>
  <si>
    <t>201205|201211|201306|201307|201308|201309|201310|201311|201312|201401|201402|201403|201404|201405|201406|201407|201408|201409|201410|201411|201412|201</t>
  </si>
  <si>
    <t>contabilidad@forestalesdaxsa.com.pe</t>
  </si>
  <si>
    <t>F001-00035200</t>
  </si>
  <si>
    <t>AHUMADA ENCALADA CINDY FABIOLA</t>
  </si>
  <si>
    <t>F001-00035942</t>
  </si>
  <si>
    <t>JULIA CARRILLO</t>
  </si>
  <si>
    <t>F001-00035946</t>
  </si>
  <si>
    <t>F001-00035950</t>
  </si>
  <si>
    <t>SOFIA</t>
  </si>
  <si>
    <t>F001-00035952</t>
  </si>
  <si>
    <t>202506|202507|202508|202509|202510</t>
  </si>
  <si>
    <t>F001-00035956</t>
  </si>
  <si>
    <t>RAFAEL</t>
  </si>
  <si>
    <t>F001-00035959</t>
  </si>
  <si>
    <t>MARCELA</t>
  </si>
  <si>
    <t>F001-00035962</t>
  </si>
  <si>
    <t>F001-00035967</t>
  </si>
  <si>
    <t>DEL ALCÁZAR CABREJOS FIORELLA MARILYA</t>
  </si>
  <si>
    <t>F001-00035979</t>
  </si>
  <si>
    <t>202504|202505</t>
  </si>
  <si>
    <t>RUBY</t>
  </si>
  <si>
    <t>FLOR</t>
  </si>
  <si>
    <t>GRECIA</t>
  </si>
  <si>
    <t>202504|202505|202506|202507|202508</t>
  </si>
  <si>
    <t>boost.medicina@gmail.com</t>
  </si>
  <si>
    <t>RIOS DIAZ JENNIFER TATIANA</t>
  </si>
  <si>
    <t>HERNANDEZ GARCIA CARMEN ROSA</t>
  </si>
  <si>
    <t>karen</t>
  </si>
  <si>
    <t>202507|202508</t>
  </si>
  <si>
    <t>jloaizap25@gmail.com</t>
  </si>
  <si>
    <t>PARILLO GALINDO MARINA PILAR</t>
  </si>
  <si>
    <t>ASOCIACION CULTURAL ARTES UNIDAS ACAU</t>
  </si>
  <si>
    <t>SIN PAGO</t>
  </si>
  <si>
    <t>F001-00035882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</si>
</sst>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2" fillId="0" borderId="0" xfId="0" applyFont="1"/>
    <xf numFmtId="164" fontId="1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4" borderId="1" xfId="0" applyNumberFormat="1" applyFont="1" applyFill="1" applyBorder="1" applyAlignment="1">
      <alignment wrapText="1"/>
    </xf>
    <xf numFmtId="0" fontId="2" fillId="4" borderId="0" xfId="0" applyFont="1" applyFill="1"/>
    <xf numFmtId="164" fontId="2" fillId="4" borderId="0" xfId="0" applyNumberFormat="1" applyFont="1" applyFill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D549-6BD9-4566-86B2-4950053DB95E}">
  <dimension ref="A1:Q136"/>
  <sheetViews>
    <sheetView tabSelected="1" topLeftCell="A85" workbookViewId="0">
      <selection activeCell="M70" sqref="M70"/>
    </sheetView>
  </sheetViews>
  <sheetFormatPr baseColWidth="10" defaultRowHeight="10.050000000000001" customHeight="1" x14ac:dyDescent="0.2"/>
  <cols>
    <col min="1" max="11" width="11.5546875" style="9"/>
    <col min="12" max="12" width="11.5546875" style="10"/>
    <col min="13" max="16384" width="11.5546875" style="9"/>
  </cols>
  <sheetData>
    <row r="1" spans="1:17" s="2" customFormat="1" ht="10.05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32</v>
      </c>
      <c r="K1" s="6" t="s">
        <v>33</v>
      </c>
      <c r="L1" s="6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s="5" customFormat="1" ht="10.050000000000001" customHeight="1" x14ac:dyDescent="0.2">
      <c r="A2" s="3">
        <v>76282662</v>
      </c>
      <c r="B2" s="3" t="s">
        <v>23</v>
      </c>
      <c r="C2" s="3" t="s">
        <v>25</v>
      </c>
      <c r="D2" s="3" t="s">
        <v>16</v>
      </c>
      <c r="E2" s="3" t="s">
        <v>17</v>
      </c>
      <c r="F2" s="3">
        <v>20504796508</v>
      </c>
      <c r="G2" s="3" t="s">
        <v>34</v>
      </c>
      <c r="H2" s="3">
        <v>20504796508</v>
      </c>
      <c r="I2" s="4">
        <v>45992</v>
      </c>
      <c r="J2" s="7">
        <f>+L2/1.18</f>
        <v>56.016949152542374</v>
      </c>
      <c r="K2" s="7">
        <f>J2*0.18</f>
        <v>10.083050847457628</v>
      </c>
      <c r="L2" s="8">
        <v>66.099999999999994</v>
      </c>
      <c r="M2" s="3" t="s">
        <v>19</v>
      </c>
      <c r="N2" s="3">
        <v>202509</v>
      </c>
      <c r="O2" s="3"/>
      <c r="P2" s="3" t="s">
        <v>56</v>
      </c>
      <c r="Q2" s="3" t="s">
        <v>158</v>
      </c>
    </row>
    <row r="3" spans="1:17" s="5" customFormat="1" ht="10.050000000000001" customHeight="1" x14ac:dyDescent="0.2">
      <c r="A3" s="3">
        <v>76282113</v>
      </c>
      <c r="B3" s="3" t="s">
        <v>15</v>
      </c>
      <c r="C3" s="3" t="s">
        <v>25</v>
      </c>
      <c r="D3" s="3" t="s">
        <v>16</v>
      </c>
      <c r="E3" s="3" t="s">
        <v>17</v>
      </c>
      <c r="F3" s="3">
        <v>20197398567</v>
      </c>
      <c r="G3" s="3" t="s">
        <v>35</v>
      </c>
      <c r="H3" s="3">
        <v>20197398567</v>
      </c>
      <c r="I3" s="4">
        <v>45993</v>
      </c>
      <c r="J3" s="7">
        <f t="shared" ref="J3:J66" si="0">+L3/1.18</f>
        <v>122.03389830508475</v>
      </c>
      <c r="K3" s="7">
        <f t="shared" ref="K3:K66" si="1">J3*0.18</f>
        <v>21.966101694915253</v>
      </c>
      <c r="L3" s="8">
        <v>144</v>
      </c>
      <c r="M3" s="3" t="s">
        <v>19</v>
      </c>
      <c r="N3" s="3">
        <v>202509</v>
      </c>
      <c r="O3" s="3"/>
      <c r="P3" s="3" t="s">
        <v>57</v>
      </c>
      <c r="Q3" s="3" t="s">
        <v>58</v>
      </c>
    </row>
    <row r="4" spans="1:17" s="5" customFormat="1" ht="10.050000000000001" customHeight="1" x14ac:dyDescent="0.2">
      <c r="A4" s="3">
        <v>76287107</v>
      </c>
      <c r="B4" s="3" t="s">
        <v>15</v>
      </c>
      <c r="C4" s="3" t="s">
        <v>25</v>
      </c>
      <c r="D4" s="3" t="s">
        <v>16</v>
      </c>
      <c r="E4" s="3" t="s">
        <v>17</v>
      </c>
      <c r="F4" s="3">
        <v>20614141990</v>
      </c>
      <c r="G4" s="3" t="s">
        <v>36</v>
      </c>
      <c r="H4" s="3">
        <v>20614141990</v>
      </c>
      <c r="I4" s="4">
        <v>45992</v>
      </c>
      <c r="J4" s="7">
        <f t="shared" si="0"/>
        <v>56.779661016949156</v>
      </c>
      <c r="K4" s="7">
        <f t="shared" si="1"/>
        <v>10.220338983050848</v>
      </c>
      <c r="L4" s="8">
        <v>67</v>
      </c>
      <c r="M4" s="3" t="s">
        <v>19</v>
      </c>
      <c r="N4" s="3" t="s">
        <v>26</v>
      </c>
      <c r="O4" s="3"/>
      <c r="P4" s="3" t="s">
        <v>59</v>
      </c>
      <c r="Q4" s="3" t="s">
        <v>159</v>
      </c>
    </row>
    <row r="5" spans="1:17" s="5" customFormat="1" ht="10.050000000000001" customHeight="1" x14ac:dyDescent="0.2">
      <c r="A5" s="3">
        <v>76285232</v>
      </c>
      <c r="B5" s="3" t="s">
        <v>15</v>
      </c>
      <c r="C5" s="3" t="s">
        <v>25</v>
      </c>
      <c r="D5" s="3" t="s">
        <v>16</v>
      </c>
      <c r="E5" s="3" t="s">
        <v>17</v>
      </c>
      <c r="F5" s="3">
        <v>20605598804</v>
      </c>
      <c r="G5" s="3" t="s">
        <v>37</v>
      </c>
      <c r="H5" s="3">
        <v>20605598804</v>
      </c>
      <c r="I5" s="4">
        <v>45992</v>
      </c>
      <c r="J5" s="7">
        <f t="shared" si="0"/>
        <v>56.016949152542374</v>
      </c>
      <c r="K5" s="7">
        <f t="shared" si="1"/>
        <v>10.083050847457628</v>
      </c>
      <c r="L5" s="8">
        <v>66.099999999999994</v>
      </c>
      <c r="M5" s="3" t="s">
        <v>19</v>
      </c>
      <c r="N5" s="3">
        <v>202509</v>
      </c>
      <c r="O5" s="3"/>
      <c r="P5" s="3" t="s">
        <v>60</v>
      </c>
      <c r="Q5" s="3" t="s">
        <v>160</v>
      </c>
    </row>
    <row r="6" spans="1:17" s="5" customFormat="1" ht="10.050000000000001" customHeight="1" x14ac:dyDescent="0.2">
      <c r="A6" s="3">
        <v>76282963</v>
      </c>
      <c r="B6" s="3" t="s">
        <v>20</v>
      </c>
      <c r="C6" s="3" t="s">
        <v>25</v>
      </c>
      <c r="D6" s="3" t="s">
        <v>16</v>
      </c>
      <c r="E6" s="3" t="s">
        <v>17</v>
      </c>
      <c r="F6" s="3">
        <v>20523226933</v>
      </c>
      <c r="G6" s="3" t="s">
        <v>38</v>
      </c>
      <c r="H6" s="3">
        <v>20523226933</v>
      </c>
      <c r="I6" s="4">
        <v>45992</v>
      </c>
      <c r="J6" s="7">
        <f t="shared" si="0"/>
        <v>74.262711864406782</v>
      </c>
      <c r="K6" s="7">
        <f t="shared" si="1"/>
        <v>13.36728813559322</v>
      </c>
      <c r="L6" s="8">
        <v>87.63</v>
      </c>
      <c r="M6" s="3" t="s">
        <v>19</v>
      </c>
      <c r="N6" s="3">
        <v>202509</v>
      </c>
      <c r="O6" s="3"/>
      <c r="P6" s="3"/>
      <c r="Q6" s="3" t="s">
        <v>161</v>
      </c>
    </row>
    <row r="7" spans="1:17" s="5" customFormat="1" ht="10.050000000000001" customHeight="1" x14ac:dyDescent="0.2">
      <c r="A7" s="3">
        <v>76285263</v>
      </c>
      <c r="B7" s="3" t="s">
        <v>20</v>
      </c>
      <c r="C7" s="3" t="s">
        <v>25</v>
      </c>
      <c r="D7" s="3" t="s">
        <v>16</v>
      </c>
      <c r="E7" s="3" t="s">
        <v>17</v>
      </c>
      <c r="F7" s="3">
        <v>20605733027</v>
      </c>
      <c r="G7" s="3" t="s">
        <v>39</v>
      </c>
      <c r="H7" s="3">
        <v>20605733027</v>
      </c>
      <c r="I7" s="4">
        <v>45992</v>
      </c>
      <c r="J7" s="7">
        <f t="shared" si="0"/>
        <v>96.305084745762713</v>
      </c>
      <c r="K7" s="7">
        <f t="shared" si="1"/>
        <v>17.334915254237288</v>
      </c>
      <c r="L7" s="8">
        <v>113.64</v>
      </c>
      <c r="M7" s="3" t="s">
        <v>19</v>
      </c>
      <c r="N7" s="3">
        <v>202509</v>
      </c>
      <c r="O7" s="3"/>
      <c r="P7" s="3"/>
      <c r="Q7" s="3" t="s">
        <v>162</v>
      </c>
    </row>
    <row r="8" spans="1:17" s="5" customFormat="1" ht="10.050000000000001" customHeight="1" x14ac:dyDescent="0.2">
      <c r="A8" s="3">
        <v>76283875</v>
      </c>
      <c r="B8" s="3" t="s">
        <v>20</v>
      </c>
      <c r="C8" s="3" t="s">
        <v>25</v>
      </c>
      <c r="D8" s="3" t="s">
        <v>16</v>
      </c>
      <c r="E8" s="3" t="s">
        <v>17</v>
      </c>
      <c r="F8" s="3">
        <v>20600292197</v>
      </c>
      <c r="G8" s="3" t="s">
        <v>40</v>
      </c>
      <c r="H8" s="3">
        <v>20600292197</v>
      </c>
      <c r="I8" s="4">
        <v>45992</v>
      </c>
      <c r="J8" s="7">
        <f t="shared" si="0"/>
        <v>59.322033898305087</v>
      </c>
      <c r="K8" s="7">
        <f t="shared" si="1"/>
        <v>10.677966101694915</v>
      </c>
      <c r="L8" s="8">
        <v>70</v>
      </c>
      <c r="M8" s="3" t="s">
        <v>19</v>
      </c>
      <c r="N8" s="3">
        <v>202509</v>
      </c>
      <c r="O8" s="3"/>
      <c r="P8" s="3"/>
      <c r="Q8" s="3" t="s">
        <v>163</v>
      </c>
    </row>
    <row r="9" spans="1:17" s="5" customFormat="1" ht="10.050000000000001" customHeight="1" x14ac:dyDescent="0.2">
      <c r="A9" s="3">
        <v>76283122</v>
      </c>
      <c r="B9" s="3" t="s">
        <v>20</v>
      </c>
      <c r="C9" s="3" t="s">
        <v>25</v>
      </c>
      <c r="D9" s="3" t="s">
        <v>16</v>
      </c>
      <c r="E9" s="3" t="s">
        <v>17</v>
      </c>
      <c r="F9" s="3">
        <v>20535090883</v>
      </c>
      <c r="G9" s="3" t="s">
        <v>41</v>
      </c>
      <c r="H9" s="3">
        <v>20535090883</v>
      </c>
      <c r="I9" s="4">
        <v>45993</v>
      </c>
      <c r="J9" s="7">
        <f t="shared" si="0"/>
        <v>103.15254237288136</v>
      </c>
      <c r="K9" s="7">
        <f t="shared" si="1"/>
        <v>18.567457627118642</v>
      </c>
      <c r="L9" s="8">
        <v>121.72</v>
      </c>
      <c r="M9" s="3" t="s">
        <v>19</v>
      </c>
      <c r="N9" s="3" t="s">
        <v>26</v>
      </c>
      <c r="O9" s="3"/>
      <c r="P9" s="3"/>
      <c r="Q9" s="3" t="s">
        <v>164</v>
      </c>
    </row>
    <row r="10" spans="1:17" s="5" customFormat="1" ht="10.050000000000001" customHeight="1" x14ac:dyDescent="0.2">
      <c r="A10" s="3">
        <v>76286184</v>
      </c>
      <c r="B10" s="3" t="s">
        <v>20</v>
      </c>
      <c r="C10" s="3" t="s">
        <v>25</v>
      </c>
      <c r="D10" s="3" t="s">
        <v>16</v>
      </c>
      <c r="E10" s="3" t="s">
        <v>17</v>
      </c>
      <c r="F10" s="3">
        <v>20609908964</v>
      </c>
      <c r="G10" s="3" t="s">
        <v>42</v>
      </c>
      <c r="H10" s="3">
        <v>20609908964</v>
      </c>
      <c r="I10" s="4">
        <v>45993</v>
      </c>
      <c r="J10" s="7">
        <f t="shared" si="0"/>
        <v>56.016949152542374</v>
      </c>
      <c r="K10" s="7">
        <f t="shared" si="1"/>
        <v>10.083050847457628</v>
      </c>
      <c r="L10" s="8">
        <v>66.099999999999994</v>
      </c>
      <c r="M10" s="3" t="s">
        <v>19</v>
      </c>
      <c r="N10" s="3" t="s">
        <v>26</v>
      </c>
      <c r="O10" s="3"/>
      <c r="P10" s="3"/>
      <c r="Q10" s="3" t="s">
        <v>165</v>
      </c>
    </row>
    <row r="11" spans="1:17" s="5" customFormat="1" ht="10.050000000000001" customHeight="1" x14ac:dyDescent="0.2">
      <c r="A11" s="3">
        <v>76285375</v>
      </c>
      <c r="B11" s="3" t="s">
        <v>20</v>
      </c>
      <c r="C11" s="3" t="s">
        <v>25</v>
      </c>
      <c r="D11" s="3" t="s">
        <v>16</v>
      </c>
      <c r="E11" s="3" t="s">
        <v>17</v>
      </c>
      <c r="F11" s="3">
        <v>20606176199</v>
      </c>
      <c r="G11" s="3" t="s">
        <v>43</v>
      </c>
      <c r="H11" s="3">
        <v>20606176199</v>
      </c>
      <c r="I11" s="4">
        <v>45994</v>
      </c>
      <c r="J11" s="7">
        <f t="shared" si="0"/>
        <v>92.20338983050847</v>
      </c>
      <c r="K11" s="7">
        <f t="shared" si="1"/>
        <v>16.596610169491523</v>
      </c>
      <c r="L11" s="8">
        <v>108.8</v>
      </c>
      <c r="M11" s="3" t="s">
        <v>19</v>
      </c>
      <c r="N11" s="3">
        <v>202509</v>
      </c>
      <c r="O11" s="3"/>
      <c r="P11" s="3"/>
      <c r="Q11" s="3" t="s">
        <v>166</v>
      </c>
    </row>
    <row r="12" spans="1:17" s="5" customFormat="1" ht="10.050000000000001" customHeight="1" x14ac:dyDescent="0.2">
      <c r="A12" s="3">
        <v>76282637</v>
      </c>
      <c r="B12" s="3" t="s">
        <v>15</v>
      </c>
      <c r="C12" s="3" t="s">
        <v>25</v>
      </c>
      <c r="D12" s="3" t="s">
        <v>16</v>
      </c>
      <c r="E12" s="3" t="s">
        <v>17</v>
      </c>
      <c r="F12" s="3">
        <v>20498587012</v>
      </c>
      <c r="G12" s="3" t="s">
        <v>44</v>
      </c>
      <c r="H12" s="3">
        <v>20498587012</v>
      </c>
      <c r="I12" s="4">
        <v>45994</v>
      </c>
      <c r="J12" s="7">
        <f t="shared" si="0"/>
        <v>56.016949152542374</v>
      </c>
      <c r="K12" s="7">
        <f t="shared" si="1"/>
        <v>10.083050847457628</v>
      </c>
      <c r="L12" s="8">
        <v>66.099999999999994</v>
      </c>
      <c r="M12" s="3" t="s">
        <v>19</v>
      </c>
      <c r="N12" s="3" t="s">
        <v>26</v>
      </c>
      <c r="O12" s="3"/>
      <c r="P12" s="3" t="s">
        <v>61</v>
      </c>
      <c r="Q12" s="3" t="s">
        <v>167</v>
      </c>
    </row>
    <row r="13" spans="1:17" s="5" customFormat="1" ht="10.050000000000001" customHeight="1" x14ac:dyDescent="0.2">
      <c r="A13" s="3">
        <v>76283109</v>
      </c>
      <c r="B13" s="3" t="s">
        <v>23</v>
      </c>
      <c r="C13" s="3" t="s">
        <v>25</v>
      </c>
      <c r="D13" s="3" t="s">
        <v>16</v>
      </c>
      <c r="E13" s="3" t="s">
        <v>17</v>
      </c>
      <c r="F13" s="3">
        <v>20534421703</v>
      </c>
      <c r="G13" s="3" t="s">
        <v>45</v>
      </c>
      <c r="H13" s="3">
        <v>20534421703</v>
      </c>
      <c r="I13" s="4">
        <v>45994</v>
      </c>
      <c r="J13" s="7">
        <f t="shared" si="0"/>
        <v>56.016949152542374</v>
      </c>
      <c r="K13" s="7">
        <f t="shared" si="1"/>
        <v>10.083050847457628</v>
      </c>
      <c r="L13" s="8">
        <v>66.099999999999994</v>
      </c>
      <c r="M13" s="3" t="s">
        <v>19</v>
      </c>
      <c r="N13" s="3">
        <v>202509</v>
      </c>
      <c r="O13" s="3"/>
      <c r="P13" s="3" t="s">
        <v>62</v>
      </c>
      <c r="Q13" s="3" t="s">
        <v>168</v>
      </c>
    </row>
    <row r="14" spans="1:17" s="5" customFormat="1" ht="10.050000000000001" customHeight="1" x14ac:dyDescent="0.2">
      <c r="A14" s="3">
        <v>76283183</v>
      </c>
      <c r="B14" s="3" t="s">
        <v>20</v>
      </c>
      <c r="C14" s="3" t="s">
        <v>25</v>
      </c>
      <c r="D14" s="3" t="s">
        <v>16</v>
      </c>
      <c r="E14" s="3" t="s">
        <v>17</v>
      </c>
      <c r="F14" s="3">
        <v>20537886294</v>
      </c>
      <c r="G14" s="3" t="s">
        <v>46</v>
      </c>
      <c r="H14" s="3">
        <v>20537886294</v>
      </c>
      <c r="I14" s="4">
        <v>45994</v>
      </c>
      <c r="J14" s="7">
        <f t="shared" si="0"/>
        <v>77.70338983050847</v>
      </c>
      <c r="K14" s="7">
        <f t="shared" si="1"/>
        <v>13.986610169491524</v>
      </c>
      <c r="L14" s="8">
        <v>91.69</v>
      </c>
      <c r="M14" s="3" t="s">
        <v>19</v>
      </c>
      <c r="N14" s="3">
        <v>202509</v>
      </c>
      <c r="O14" s="3"/>
      <c r="P14" s="3"/>
      <c r="Q14" s="3" t="s">
        <v>169</v>
      </c>
    </row>
    <row r="15" spans="1:17" s="5" customFormat="1" ht="10.050000000000001" customHeight="1" x14ac:dyDescent="0.2">
      <c r="A15" s="3">
        <v>76282334</v>
      </c>
      <c r="B15" s="3" t="s">
        <v>24</v>
      </c>
      <c r="C15" s="3" t="s">
        <v>25</v>
      </c>
      <c r="D15" s="3" t="s">
        <v>16</v>
      </c>
      <c r="E15" s="3" t="s">
        <v>17</v>
      </c>
      <c r="F15" s="3">
        <v>20453989861</v>
      </c>
      <c r="G15" s="3" t="s">
        <v>47</v>
      </c>
      <c r="H15" s="3">
        <v>20453989861</v>
      </c>
      <c r="I15" s="4">
        <v>45994</v>
      </c>
      <c r="J15" s="7">
        <f t="shared" si="0"/>
        <v>56.016949152542374</v>
      </c>
      <c r="K15" s="7">
        <f t="shared" si="1"/>
        <v>10.083050847457628</v>
      </c>
      <c r="L15" s="8">
        <v>66.099999999999994</v>
      </c>
      <c r="M15" s="3" t="s">
        <v>19</v>
      </c>
      <c r="N15" s="3" t="s">
        <v>26</v>
      </c>
      <c r="O15" s="3"/>
      <c r="P15" s="3" t="s">
        <v>63</v>
      </c>
      <c r="Q15" s="3" t="s">
        <v>170</v>
      </c>
    </row>
    <row r="16" spans="1:17" s="5" customFormat="1" ht="10.050000000000001" customHeight="1" x14ac:dyDescent="0.2">
      <c r="A16" s="3">
        <v>76286975</v>
      </c>
      <c r="B16" s="3" t="s">
        <v>48</v>
      </c>
      <c r="C16" s="3" t="s">
        <v>25</v>
      </c>
      <c r="D16" s="3" t="s">
        <v>16</v>
      </c>
      <c r="E16" s="3" t="s">
        <v>17</v>
      </c>
      <c r="F16" s="3">
        <v>20613388126</v>
      </c>
      <c r="G16" s="3" t="s">
        <v>49</v>
      </c>
      <c r="H16" s="3">
        <v>20613388126</v>
      </c>
      <c r="I16" s="4">
        <v>45994</v>
      </c>
      <c r="J16" s="7">
        <f t="shared" si="0"/>
        <v>154.22881355932205</v>
      </c>
      <c r="K16" s="7">
        <f t="shared" si="1"/>
        <v>27.761186440677967</v>
      </c>
      <c r="L16" s="8">
        <v>181.99</v>
      </c>
      <c r="M16" s="3" t="s">
        <v>19</v>
      </c>
      <c r="N16" s="3" t="s">
        <v>26</v>
      </c>
      <c r="O16" s="3"/>
      <c r="P16" s="3"/>
      <c r="Q16" s="3" t="s">
        <v>171</v>
      </c>
    </row>
    <row r="17" spans="1:17" s="5" customFormat="1" ht="10.050000000000001" customHeight="1" x14ac:dyDescent="0.2">
      <c r="A17" s="3">
        <v>76284140</v>
      </c>
      <c r="B17" s="3" t="s">
        <v>15</v>
      </c>
      <c r="C17" s="3" t="s">
        <v>25</v>
      </c>
      <c r="D17" s="3" t="s">
        <v>16</v>
      </c>
      <c r="E17" s="3" t="s">
        <v>17</v>
      </c>
      <c r="F17" s="3">
        <v>20601305276</v>
      </c>
      <c r="G17" s="3" t="s">
        <v>50</v>
      </c>
      <c r="H17" s="3">
        <v>20601305276</v>
      </c>
      <c r="I17" s="4">
        <v>45995</v>
      </c>
      <c r="J17" s="7">
        <f t="shared" si="0"/>
        <v>56.016949152542374</v>
      </c>
      <c r="K17" s="7">
        <f t="shared" si="1"/>
        <v>10.083050847457628</v>
      </c>
      <c r="L17" s="8">
        <v>66.099999999999994</v>
      </c>
      <c r="M17" s="3" t="s">
        <v>19</v>
      </c>
      <c r="N17" s="3">
        <v>202509</v>
      </c>
      <c r="O17" s="3"/>
      <c r="P17" s="3" t="s">
        <v>64</v>
      </c>
      <c r="Q17" s="3" t="s">
        <v>172</v>
      </c>
    </row>
    <row r="18" spans="1:17" s="5" customFormat="1" ht="10.050000000000001" customHeight="1" x14ac:dyDescent="0.2">
      <c r="A18" s="3">
        <v>76282088</v>
      </c>
      <c r="B18" s="3" t="s">
        <v>48</v>
      </c>
      <c r="C18" s="3" t="s">
        <v>25</v>
      </c>
      <c r="D18" s="3" t="s">
        <v>16</v>
      </c>
      <c r="E18" s="3" t="s">
        <v>17</v>
      </c>
      <c r="F18" s="3">
        <v>20123697864</v>
      </c>
      <c r="G18" s="3" t="s">
        <v>51</v>
      </c>
      <c r="H18" s="3">
        <v>20123697864</v>
      </c>
      <c r="I18" s="4">
        <v>45996</v>
      </c>
      <c r="J18" s="7">
        <f t="shared" si="0"/>
        <v>56.016949152542374</v>
      </c>
      <c r="K18" s="7">
        <f t="shared" si="1"/>
        <v>10.083050847457628</v>
      </c>
      <c r="L18" s="8">
        <v>66.099999999999994</v>
      </c>
      <c r="M18" s="3" t="s">
        <v>19</v>
      </c>
      <c r="N18" s="3">
        <v>202508</v>
      </c>
      <c r="O18" s="3"/>
      <c r="P18" s="3" t="s">
        <v>65</v>
      </c>
      <c r="Q18" s="3" t="s">
        <v>173</v>
      </c>
    </row>
    <row r="19" spans="1:17" s="5" customFormat="1" ht="10.050000000000001" customHeight="1" x14ac:dyDescent="0.2">
      <c r="A19" s="3">
        <v>76284889</v>
      </c>
      <c r="B19" s="3" t="s">
        <v>23</v>
      </c>
      <c r="C19" s="3" t="s">
        <v>25</v>
      </c>
      <c r="D19" s="3" t="s">
        <v>16</v>
      </c>
      <c r="E19" s="3" t="s">
        <v>17</v>
      </c>
      <c r="F19" s="3">
        <v>20603841418</v>
      </c>
      <c r="G19" s="3" t="s">
        <v>52</v>
      </c>
      <c r="H19" s="3">
        <v>20603841418</v>
      </c>
      <c r="I19" s="4">
        <v>45996</v>
      </c>
      <c r="J19" s="7">
        <f t="shared" si="0"/>
        <v>56.016949152542374</v>
      </c>
      <c r="K19" s="7">
        <f t="shared" si="1"/>
        <v>10.083050847457628</v>
      </c>
      <c r="L19" s="8">
        <v>66.099999999999994</v>
      </c>
      <c r="M19" s="3" t="s">
        <v>19</v>
      </c>
      <c r="N19" s="3">
        <v>202509</v>
      </c>
      <c r="O19" s="3"/>
      <c r="P19" s="3" t="s">
        <v>66</v>
      </c>
      <c r="Q19" s="3" t="s">
        <v>174</v>
      </c>
    </row>
    <row r="20" spans="1:17" s="5" customFormat="1" ht="10.050000000000001" customHeight="1" x14ac:dyDescent="0.2">
      <c r="A20" s="3">
        <v>76294165</v>
      </c>
      <c r="B20" s="3" t="s">
        <v>24</v>
      </c>
      <c r="C20" s="3" t="s">
        <v>25</v>
      </c>
      <c r="D20" s="3" t="s">
        <v>21</v>
      </c>
      <c r="E20" s="3" t="s">
        <v>22</v>
      </c>
      <c r="F20" s="3">
        <v>20519499780</v>
      </c>
      <c r="G20" s="3" t="s">
        <v>27</v>
      </c>
      <c r="H20" s="3">
        <v>20519499780</v>
      </c>
      <c r="I20" s="4">
        <v>45994</v>
      </c>
      <c r="J20" s="7">
        <f t="shared" si="0"/>
        <v>359.67796610169495</v>
      </c>
      <c r="K20" s="7">
        <f t="shared" si="1"/>
        <v>64.742033898305095</v>
      </c>
      <c r="L20" s="8">
        <v>424.42</v>
      </c>
      <c r="M20" s="3" t="s">
        <v>18</v>
      </c>
      <c r="N20" s="3" t="s">
        <v>28</v>
      </c>
      <c r="O20" s="3" t="s">
        <v>29</v>
      </c>
      <c r="P20" s="3" t="s">
        <v>30</v>
      </c>
      <c r="Q20" s="3" t="s">
        <v>31</v>
      </c>
    </row>
    <row r="21" spans="1:17" s="5" customFormat="1" ht="10.050000000000001" customHeight="1" x14ac:dyDescent="0.2">
      <c r="A21" s="3">
        <v>76477345</v>
      </c>
      <c r="B21" s="3" t="s">
        <v>15</v>
      </c>
      <c r="C21" s="3" t="s">
        <v>53</v>
      </c>
      <c r="D21" s="3" t="s">
        <v>16</v>
      </c>
      <c r="E21" s="3" t="s">
        <v>17</v>
      </c>
      <c r="F21" s="3">
        <v>20605050833</v>
      </c>
      <c r="G21" s="3" t="s">
        <v>54</v>
      </c>
      <c r="H21" s="3">
        <v>20605050833</v>
      </c>
      <c r="I21" s="4">
        <v>46001</v>
      </c>
      <c r="J21" s="7">
        <f t="shared" si="0"/>
        <v>63.059322033898304</v>
      </c>
      <c r="K21" s="7">
        <f t="shared" si="1"/>
        <v>11.350677966101694</v>
      </c>
      <c r="L21" s="8">
        <v>74.41</v>
      </c>
      <c r="M21" s="3" t="s">
        <v>19</v>
      </c>
      <c r="N21" s="3">
        <v>202510</v>
      </c>
      <c r="O21" s="3"/>
      <c r="P21" s="3" t="s">
        <v>67</v>
      </c>
      <c r="Q21" s="3" t="s">
        <v>175</v>
      </c>
    </row>
    <row r="22" spans="1:17" s="5" customFormat="1" ht="10.050000000000001" customHeight="1" x14ac:dyDescent="0.2">
      <c r="A22" s="3">
        <v>76283351</v>
      </c>
      <c r="B22" s="3" t="s">
        <v>20</v>
      </c>
      <c r="C22" s="3" t="s">
        <v>25</v>
      </c>
      <c r="D22" s="3" t="s">
        <v>16</v>
      </c>
      <c r="E22" s="3" t="s">
        <v>17</v>
      </c>
      <c r="F22" s="3">
        <v>20547689403</v>
      </c>
      <c r="G22" s="3" t="s">
        <v>55</v>
      </c>
      <c r="H22" s="3">
        <v>20547689403</v>
      </c>
      <c r="I22" s="4">
        <v>45997</v>
      </c>
      <c r="J22" s="7">
        <f t="shared" si="0"/>
        <v>68.627118644067806</v>
      </c>
      <c r="K22" s="7">
        <f t="shared" si="1"/>
        <v>12.352881355932205</v>
      </c>
      <c r="L22" s="8">
        <v>80.98</v>
      </c>
      <c r="M22" s="3" t="s">
        <v>19</v>
      </c>
      <c r="N22" s="3">
        <v>202509</v>
      </c>
      <c r="O22" s="3"/>
      <c r="P22" s="3"/>
      <c r="Q22" s="3" t="s">
        <v>176</v>
      </c>
    </row>
    <row r="23" spans="1:17" s="5" customFormat="1" ht="10.050000000000001" customHeight="1" x14ac:dyDescent="0.2">
      <c r="A23" s="3">
        <v>76474794</v>
      </c>
      <c r="B23" s="3" t="s">
        <v>23</v>
      </c>
      <c r="C23" s="3" t="s">
        <v>53</v>
      </c>
      <c r="D23" s="3" t="s">
        <v>16</v>
      </c>
      <c r="E23" s="3" t="s">
        <v>17</v>
      </c>
      <c r="F23" s="3">
        <v>20505874529</v>
      </c>
      <c r="G23" s="3" t="s">
        <v>68</v>
      </c>
      <c r="H23" s="3">
        <v>20505874529</v>
      </c>
      <c r="I23" s="4">
        <v>46003</v>
      </c>
      <c r="J23" s="7">
        <f t="shared" si="0"/>
        <v>67.79661016949153</v>
      </c>
      <c r="K23" s="7">
        <f t="shared" si="1"/>
        <v>12.203389830508474</v>
      </c>
      <c r="L23" s="8">
        <v>80</v>
      </c>
      <c r="M23" s="3" t="s">
        <v>19</v>
      </c>
      <c r="N23" s="3">
        <v>202510</v>
      </c>
      <c r="O23" s="3"/>
      <c r="P23" s="3" t="s">
        <v>74</v>
      </c>
      <c r="Q23" s="3" t="s">
        <v>177</v>
      </c>
    </row>
    <row r="24" spans="1:17" s="5" customFormat="1" ht="10.050000000000001" customHeight="1" x14ac:dyDescent="0.2">
      <c r="A24" s="3">
        <v>76477124</v>
      </c>
      <c r="B24" s="3" t="s">
        <v>48</v>
      </c>
      <c r="C24" s="3" t="s">
        <v>53</v>
      </c>
      <c r="D24" s="3" t="s">
        <v>16</v>
      </c>
      <c r="E24" s="3" t="s">
        <v>17</v>
      </c>
      <c r="F24" s="3">
        <v>20603914296</v>
      </c>
      <c r="G24" s="3" t="s">
        <v>69</v>
      </c>
      <c r="H24" s="3">
        <v>20603914296</v>
      </c>
      <c r="I24" s="4">
        <v>46003</v>
      </c>
      <c r="J24" s="7">
        <f t="shared" si="0"/>
        <v>174.05084745762713</v>
      </c>
      <c r="K24" s="7">
        <f t="shared" si="1"/>
        <v>31.329152542372881</v>
      </c>
      <c r="L24" s="8">
        <v>205.38</v>
      </c>
      <c r="M24" s="3" t="s">
        <v>19</v>
      </c>
      <c r="N24" s="3">
        <v>202510</v>
      </c>
      <c r="O24" s="3"/>
      <c r="P24" s="3"/>
      <c r="Q24" s="3" t="s">
        <v>178</v>
      </c>
    </row>
    <row r="25" spans="1:17" s="5" customFormat="1" ht="10.050000000000001" customHeight="1" x14ac:dyDescent="0.2">
      <c r="A25" s="3">
        <v>76479084</v>
      </c>
      <c r="B25" s="3" t="s">
        <v>15</v>
      </c>
      <c r="C25" s="3" t="s">
        <v>53</v>
      </c>
      <c r="D25" s="3" t="s">
        <v>16</v>
      </c>
      <c r="E25" s="3" t="s">
        <v>17</v>
      </c>
      <c r="F25" s="3">
        <v>20612463591</v>
      </c>
      <c r="G25" s="3" t="s">
        <v>77</v>
      </c>
      <c r="H25" s="3">
        <v>20612463591</v>
      </c>
      <c r="I25" s="4">
        <v>46002</v>
      </c>
      <c r="J25" s="7">
        <f t="shared" si="0"/>
        <v>107.62711864406781</v>
      </c>
      <c r="K25" s="7">
        <f t="shared" si="1"/>
        <v>19.372881355932204</v>
      </c>
      <c r="L25" s="8">
        <v>127</v>
      </c>
      <c r="M25" s="3" t="s">
        <v>19</v>
      </c>
      <c r="N25" s="3">
        <v>202510</v>
      </c>
      <c r="O25" s="3"/>
      <c r="P25" s="3"/>
      <c r="Q25" s="3" t="s">
        <v>179</v>
      </c>
    </row>
    <row r="26" spans="1:17" s="5" customFormat="1" ht="10.050000000000001" customHeight="1" x14ac:dyDescent="0.2">
      <c r="A26" s="3">
        <v>76475076</v>
      </c>
      <c r="B26" s="3" t="s">
        <v>15</v>
      </c>
      <c r="C26" s="3" t="s">
        <v>53</v>
      </c>
      <c r="D26" s="3" t="s">
        <v>16</v>
      </c>
      <c r="E26" s="3" t="s">
        <v>17</v>
      </c>
      <c r="F26" s="3">
        <v>20521886871</v>
      </c>
      <c r="G26" s="3" t="s">
        <v>70</v>
      </c>
      <c r="H26" s="3">
        <v>20521886871</v>
      </c>
      <c r="I26" s="4">
        <v>46003</v>
      </c>
      <c r="J26" s="7">
        <f t="shared" si="0"/>
        <v>147.45762711864407</v>
      </c>
      <c r="K26" s="7">
        <f t="shared" si="1"/>
        <v>26.542372881355931</v>
      </c>
      <c r="L26" s="8">
        <v>174</v>
      </c>
      <c r="M26" s="3" t="s">
        <v>19</v>
      </c>
      <c r="N26" s="3">
        <v>202510</v>
      </c>
      <c r="O26" s="3"/>
      <c r="P26" s="3" t="s">
        <v>75</v>
      </c>
      <c r="Q26" s="3" t="s">
        <v>180</v>
      </c>
    </row>
    <row r="27" spans="1:17" s="5" customFormat="1" ht="10.050000000000001" customHeight="1" x14ac:dyDescent="0.2">
      <c r="A27" s="3">
        <v>76474019</v>
      </c>
      <c r="B27" s="3" t="s">
        <v>15</v>
      </c>
      <c r="C27" s="3" t="s">
        <v>53</v>
      </c>
      <c r="D27" s="3" t="s">
        <v>16</v>
      </c>
      <c r="E27" s="3" t="s">
        <v>17</v>
      </c>
      <c r="F27" s="3">
        <v>41977629</v>
      </c>
      <c r="G27" s="3" t="s">
        <v>71</v>
      </c>
      <c r="H27" s="3">
        <v>10419776292</v>
      </c>
      <c r="I27" s="4">
        <v>46003</v>
      </c>
      <c r="J27" s="7">
        <f t="shared" si="0"/>
        <v>86.440677966101703</v>
      </c>
      <c r="K27" s="7">
        <f t="shared" si="1"/>
        <v>15.559322033898306</v>
      </c>
      <c r="L27" s="8">
        <v>102</v>
      </c>
      <c r="M27" s="3" t="s">
        <v>19</v>
      </c>
      <c r="N27" s="3" t="s">
        <v>181</v>
      </c>
      <c r="O27" s="3"/>
      <c r="P27" s="3" t="s">
        <v>76</v>
      </c>
      <c r="Q27" s="3" t="s">
        <v>182</v>
      </c>
    </row>
    <row r="28" spans="1:17" s="5" customFormat="1" ht="10.050000000000001" customHeight="1" x14ac:dyDescent="0.2">
      <c r="A28" s="3">
        <v>76477631</v>
      </c>
      <c r="B28" s="3" t="s">
        <v>24</v>
      </c>
      <c r="C28" s="3" t="s">
        <v>53</v>
      </c>
      <c r="D28" s="3" t="s">
        <v>16</v>
      </c>
      <c r="E28" s="3" t="s">
        <v>17</v>
      </c>
      <c r="F28" s="3">
        <v>20606210176</v>
      </c>
      <c r="G28" s="3" t="s">
        <v>78</v>
      </c>
      <c r="H28" s="3">
        <v>20606210176</v>
      </c>
      <c r="I28" s="4">
        <v>46003</v>
      </c>
      <c r="J28" s="7">
        <f t="shared" si="0"/>
        <v>56.016949152542374</v>
      </c>
      <c r="K28" s="7">
        <f t="shared" si="1"/>
        <v>10.083050847457628</v>
      </c>
      <c r="L28" s="8">
        <v>66.099999999999994</v>
      </c>
      <c r="M28" s="3" t="s">
        <v>19</v>
      </c>
      <c r="N28" s="3">
        <v>202510</v>
      </c>
      <c r="O28" s="3"/>
      <c r="P28" s="3" t="s">
        <v>183</v>
      </c>
      <c r="Q28" s="3" t="s">
        <v>184</v>
      </c>
    </row>
    <row r="29" spans="1:17" s="5" customFormat="1" ht="10.050000000000001" customHeight="1" x14ac:dyDescent="0.2">
      <c r="A29" s="3">
        <v>76514180</v>
      </c>
      <c r="B29" s="3" t="s">
        <v>24</v>
      </c>
      <c r="C29" s="3" t="s">
        <v>53</v>
      </c>
      <c r="D29" s="3" t="s">
        <v>21</v>
      </c>
      <c r="E29" s="3" t="s">
        <v>22</v>
      </c>
      <c r="F29" s="3">
        <v>20519499780</v>
      </c>
      <c r="G29" s="3" t="s">
        <v>27</v>
      </c>
      <c r="H29" s="3">
        <v>20519499780</v>
      </c>
      <c r="I29" s="4">
        <v>46003</v>
      </c>
      <c r="J29" s="7">
        <f t="shared" si="0"/>
        <v>455.64406779661016</v>
      </c>
      <c r="K29" s="7">
        <f t="shared" si="1"/>
        <v>82.015932203389823</v>
      </c>
      <c r="L29" s="8">
        <v>537.66</v>
      </c>
      <c r="M29" s="3" t="s">
        <v>18</v>
      </c>
      <c r="N29" s="3" t="s">
        <v>185</v>
      </c>
      <c r="O29" s="3" t="s">
        <v>186</v>
      </c>
      <c r="P29" s="3"/>
      <c r="Q29" s="3" t="s">
        <v>187</v>
      </c>
    </row>
    <row r="30" spans="1:17" s="5" customFormat="1" ht="10.050000000000001" customHeight="1" x14ac:dyDescent="0.2">
      <c r="A30" s="3">
        <v>76473991</v>
      </c>
      <c r="B30" s="3" t="s">
        <v>23</v>
      </c>
      <c r="C30" s="3" t="s">
        <v>53</v>
      </c>
      <c r="D30" s="3" t="s">
        <v>16</v>
      </c>
      <c r="E30" s="3" t="s">
        <v>17</v>
      </c>
      <c r="F30" s="3">
        <v>40721603</v>
      </c>
      <c r="G30" s="3" t="s">
        <v>72</v>
      </c>
      <c r="H30" s="3">
        <v>10407216038</v>
      </c>
      <c r="I30" s="4">
        <v>46004</v>
      </c>
      <c r="J30" s="7">
        <f t="shared" si="0"/>
        <v>78.084745762711876</v>
      </c>
      <c r="K30" s="7">
        <f t="shared" si="1"/>
        <v>14.055254237288137</v>
      </c>
      <c r="L30" s="8">
        <v>92.14</v>
      </c>
      <c r="M30" s="3" t="s">
        <v>19</v>
      </c>
      <c r="N30" s="3">
        <v>202510</v>
      </c>
      <c r="O30" s="3"/>
      <c r="P30" s="3"/>
      <c r="Q30" s="3" t="s">
        <v>188</v>
      </c>
    </row>
    <row r="31" spans="1:17" s="5" customFormat="1" ht="10.050000000000001" customHeight="1" x14ac:dyDescent="0.2">
      <c r="A31" s="3">
        <v>76474057</v>
      </c>
      <c r="B31" s="3" t="s">
        <v>20</v>
      </c>
      <c r="C31" s="3" t="s">
        <v>53</v>
      </c>
      <c r="D31" s="3" t="s">
        <v>16</v>
      </c>
      <c r="E31" s="3" t="s">
        <v>17</v>
      </c>
      <c r="F31" s="3">
        <v>43371623</v>
      </c>
      <c r="G31" s="3" t="s">
        <v>73</v>
      </c>
      <c r="H31" s="3">
        <v>10433716235</v>
      </c>
      <c r="I31" s="4">
        <v>46004</v>
      </c>
      <c r="J31" s="7">
        <f t="shared" si="0"/>
        <v>56.016949152542374</v>
      </c>
      <c r="K31" s="7">
        <f t="shared" si="1"/>
        <v>10.083050847457628</v>
      </c>
      <c r="L31" s="8">
        <v>66.099999999999994</v>
      </c>
      <c r="M31" s="3" t="s">
        <v>19</v>
      </c>
      <c r="N31" s="3" t="s">
        <v>189</v>
      </c>
      <c r="O31" s="3"/>
      <c r="P31" s="3"/>
      <c r="Q31" s="3" t="s">
        <v>190</v>
      </c>
    </row>
    <row r="32" spans="1:17" s="5" customFormat="1" ht="10.050000000000001" customHeight="1" x14ac:dyDescent="0.2">
      <c r="A32" s="3">
        <v>76476539</v>
      </c>
      <c r="B32" s="3" t="s">
        <v>15</v>
      </c>
      <c r="C32" s="3" t="s">
        <v>53</v>
      </c>
      <c r="D32" s="3" t="s">
        <v>16</v>
      </c>
      <c r="E32" s="3" t="s">
        <v>17</v>
      </c>
      <c r="F32" s="3">
        <v>20601897823</v>
      </c>
      <c r="G32" s="3" t="s">
        <v>79</v>
      </c>
      <c r="H32" s="3">
        <v>20601897823</v>
      </c>
      <c r="I32" s="4">
        <v>46005</v>
      </c>
      <c r="J32" s="7">
        <f t="shared" si="0"/>
        <v>132.80508474576271</v>
      </c>
      <c r="K32" s="7">
        <f t="shared" si="1"/>
        <v>23.904915254237288</v>
      </c>
      <c r="L32" s="8">
        <v>156.71</v>
      </c>
      <c r="M32" s="3" t="s">
        <v>19</v>
      </c>
      <c r="N32" s="3">
        <v>202510</v>
      </c>
      <c r="O32" s="3"/>
      <c r="P32" s="3" t="s">
        <v>191</v>
      </c>
      <c r="Q32" s="3" t="s">
        <v>192</v>
      </c>
    </row>
    <row r="33" spans="1:17" s="5" customFormat="1" ht="10.050000000000001" customHeight="1" x14ac:dyDescent="0.2">
      <c r="A33" s="3">
        <v>76476023</v>
      </c>
      <c r="B33" s="3" t="s">
        <v>20</v>
      </c>
      <c r="C33" s="3" t="s">
        <v>53</v>
      </c>
      <c r="D33" s="3" t="s">
        <v>16</v>
      </c>
      <c r="E33" s="3" t="s">
        <v>17</v>
      </c>
      <c r="F33" s="3">
        <v>20600140451</v>
      </c>
      <c r="G33" s="3" t="s">
        <v>80</v>
      </c>
      <c r="H33" s="3">
        <v>20600140451</v>
      </c>
      <c r="I33" s="4">
        <v>46003</v>
      </c>
      <c r="J33" s="7">
        <f t="shared" si="0"/>
        <v>86.211864406779668</v>
      </c>
      <c r="K33" s="7">
        <f t="shared" si="1"/>
        <v>15.51813559322034</v>
      </c>
      <c r="L33" s="8">
        <v>101.73</v>
      </c>
      <c r="M33" s="3" t="s">
        <v>19</v>
      </c>
      <c r="N33" s="3">
        <v>202510</v>
      </c>
      <c r="O33" s="3"/>
      <c r="P33" s="3"/>
      <c r="Q33" s="3" t="s">
        <v>193</v>
      </c>
    </row>
    <row r="34" spans="1:17" s="5" customFormat="1" ht="10.050000000000001" customHeight="1" x14ac:dyDescent="0.2">
      <c r="A34" s="3">
        <v>76487964</v>
      </c>
      <c r="B34" s="3" t="s">
        <v>48</v>
      </c>
      <c r="C34" s="3" t="s">
        <v>53</v>
      </c>
      <c r="D34" s="3" t="s">
        <v>81</v>
      </c>
      <c r="E34" s="3" t="s">
        <v>82</v>
      </c>
      <c r="F34" s="3">
        <v>20170417543</v>
      </c>
      <c r="G34" s="3" t="s">
        <v>83</v>
      </c>
      <c r="H34" s="3">
        <v>20170417543</v>
      </c>
      <c r="I34" s="4">
        <v>46006</v>
      </c>
      <c r="J34" s="7">
        <f t="shared" si="0"/>
        <v>51.779661016949156</v>
      </c>
      <c r="K34" s="7">
        <f t="shared" si="1"/>
        <v>9.3203389830508474</v>
      </c>
      <c r="L34" s="8">
        <v>61.1</v>
      </c>
      <c r="M34" s="3" t="s">
        <v>19</v>
      </c>
      <c r="N34" s="3">
        <v>199807</v>
      </c>
      <c r="O34" s="3"/>
      <c r="P34" s="3"/>
      <c r="Q34" s="3" t="s">
        <v>194</v>
      </c>
    </row>
    <row r="35" spans="1:17" s="5" customFormat="1" ht="10.050000000000001" customHeight="1" x14ac:dyDescent="0.2">
      <c r="A35" s="3">
        <v>76474266</v>
      </c>
      <c r="B35" s="3" t="s">
        <v>48</v>
      </c>
      <c r="C35" s="3" t="s">
        <v>53</v>
      </c>
      <c r="D35" s="3" t="s">
        <v>16</v>
      </c>
      <c r="E35" s="3" t="s">
        <v>17</v>
      </c>
      <c r="F35" s="3">
        <v>20302061425</v>
      </c>
      <c r="G35" s="3" t="s">
        <v>84</v>
      </c>
      <c r="H35" s="3">
        <v>20302061425</v>
      </c>
      <c r="I35" s="4">
        <v>46006</v>
      </c>
      <c r="J35" s="7">
        <f t="shared" si="0"/>
        <v>162.5</v>
      </c>
      <c r="K35" s="7">
        <f t="shared" si="1"/>
        <v>29.25</v>
      </c>
      <c r="L35" s="8">
        <v>191.75</v>
      </c>
      <c r="M35" s="3" t="s">
        <v>19</v>
      </c>
      <c r="N35" s="3">
        <v>202510</v>
      </c>
      <c r="O35" s="3"/>
      <c r="P35" s="3"/>
      <c r="Q35" s="3" t="s">
        <v>195</v>
      </c>
    </row>
    <row r="36" spans="1:17" s="5" customFormat="1" ht="10.050000000000001" customHeight="1" x14ac:dyDescent="0.2">
      <c r="A36" s="3">
        <v>76477210</v>
      </c>
      <c r="B36" s="3" t="s">
        <v>15</v>
      </c>
      <c r="C36" s="3" t="s">
        <v>53</v>
      </c>
      <c r="D36" s="3" t="s">
        <v>16</v>
      </c>
      <c r="E36" s="3" t="s">
        <v>17</v>
      </c>
      <c r="F36" s="3">
        <v>20604322678</v>
      </c>
      <c r="G36" s="3" t="s">
        <v>85</v>
      </c>
      <c r="H36" s="3">
        <v>20604322678</v>
      </c>
      <c r="I36" s="4">
        <v>46006</v>
      </c>
      <c r="J36" s="7">
        <f t="shared" si="0"/>
        <v>56.016949152542374</v>
      </c>
      <c r="K36" s="7">
        <f t="shared" si="1"/>
        <v>10.083050847457628</v>
      </c>
      <c r="L36" s="8">
        <v>66.099999999999994</v>
      </c>
      <c r="M36" s="3" t="s">
        <v>19</v>
      </c>
      <c r="N36" s="3">
        <v>202510</v>
      </c>
      <c r="O36" s="3"/>
      <c r="P36" s="3" t="s">
        <v>196</v>
      </c>
      <c r="Q36" s="3" t="s">
        <v>197</v>
      </c>
    </row>
    <row r="37" spans="1:17" s="5" customFormat="1" ht="10.050000000000001" customHeight="1" x14ac:dyDescent="0.2">
      <c r="A37" s="3">
        <v>76513681</v>
      </c>
      <c r="B37" s="3" t="s">
        <v>24</v>
      </c>
      <c r="C37" s="3" t="s">
        <v>53</v>
      </c>
      <c r="D37" s="3" t="s">
        <v>21</v>
      </c>
      <c r="E37" s="3" t="s">
        <v>22</v>
      </c>
      <c r="F37" s="3">
        <v>20509470848</v>
      </c>
      <c r="G37" s="3" t="s">
        <v>86</v>
      </c>
      <c r="H37" s="3">
        <v>20509470848</v>
      </c>
      <c r="I37" s="4">
        <v>46006</v>
      </c>
      <c r="J37" s="7">
        <f t="shared" si="0"/>
        <v>815.0593220338983</v>
      </c>
      <c r="K37" s="7">
        <f t="shared" si="1"/>
        <v>146.71067796610168</v>
      </c>
      <c r="L37" s="8">
        <v>961.77</v>
      </c>
      <c r="M37" s="3" t="s">
        <v>18</v>
      </c>
      <c r="N37" s="3" t="s">
        <v>198</v>
      </c>
      <c r="O37" s="3" t="s">
        <v>199</v>
      </c>
      <c r="P37" s="3"/>
      <c r="Q37" s="3" t="s">
        <v>200</v>
      </c>
    </row>
    <row r="38" spans="1:17" s="5" customFormat="1" ht="10.050000000000001" customHeight="1" x14ac:dyDescent="0.2">
      <c r="A38" s="3">
        <v>76477683</v>
      </c>
      <c r="B38" s="3" t="s">
        <v>48</v>
      </c>
      <c r="C38" s="3" t="s">
        <v>53</v>
      </c>
      <c r="D38" s="3" t="s">
        <v>16</v>
      </c>
      <c r="E38" s="3" t="s">
        <v>17</v>
      </c>
      <c r="F38" s="3">
        <v>20606399279</v>
      </c>
      <c r="G38" s="3" t="s">
        <v>87</v>
      </c>
      <c r="H38" s="3">
        <v>20606399279</v>
      </c>
      <c r="I38" s="4">
        <v>46006</v>
      </c>
      <c r="J38" s="7">
        <f t="shared" si="0"/>
        <v>157.54237288135596</v>
      </c>
      <c r="K38" s="7">
        <f t="shared" si="1"/>
        <v>28.357627118644071</v>
      </c>
      <c r="L38" s="8">
        <v>185.9</v>
      </c>
      <c r="M38" s="3" t="s">
        <v>19</v>
      </c>
      <c r="N38" s="3">
        <v>202510</v>
      </c>
      <c r="O38" s="3"/>
      <c r="P38" s="3"/>
      <c r="Q38" s="3" t="s">
        <v>201</v>
      </c>
    </row>
    <row r="39" spans="1:17" s="5" customFormat="1" ht="10.050000000000001" customHeight="1" x14ac:dyDescent="0.2">
      <c r="A39" s="3">
        <v>76474264</v>
      </c>
      <c r="B39" s="3" t="s">
        <v>15</v>
      </c>
      <c r="C39" s="3" t="s">
        <v>53</v>
      </c>
      <c r="D39" s="3" t="s">
        <v>16</v>
      </c>
      <c r="E39" s="3" t="s">
        <v>17</v>
      </c>
      <c r="F39" s="3">
        <v>20298537461</v>
      </c>
      <c r="G39" s="3" t="s">
        <v>88</v>
      </c>
      <c r="H39" s="3">
        <v>20298537461</v>
      </c>
      <c r="I39" s="4">
        <v>46006</v>
      </c>
      <c r="J39" s="7">
        <f t="shared" si="0"/>
        <v>86.440677966101703</v>
      </c>
      <c r="K39" s="7">
        <f t="shared" si="1"/>
        <v>15.559322033898306</v>
      </c>
      <c r="L39" s="8">
        <v>102</v>
      </c>
      <c r="M39" s="3" t="s">
        <v>19</v>
      </c>
      <c r="N39" s="3">
        <v>202510</v>
      </c>
      <c r="O39" s="3"/>
      <c r="P39" s="3" t="s">
        <v>202</v>
      </c>
      <c r="Q39" s="3" t="s">
        <v>203</v>
      </c>
    </row>
    <row r="40" spans="1:17" s="5" customFormat="1" ht="10.050000000000001" customHeight="1" x14ac:dyDescent="0.2">
      <c r="A40" s="3">
        <v>76498557</v>
      </c>
      <c r="B40" s="3" t="s">
        <v>89</v>
      </c>
      <c r="C40" s="3" t="s">
        <v>53</v>
      </c>
      <c r="D40" s="3" t="s">
        <v>90</v>
      </c>
      <c r="E40" s="3" t="s">
        <v>91</v>
      </c>
      <c r="F40" s="3">
        <v>20514534251</v>
      </c>
      <c r="G40" s="3" t="s">
        <v>92</v>
      </c>
      <c r="H40" s="3">
        <v>20514534251</v>
      </c>
      <c r="I40" s="4">
        <v>46007</v>
      </c>
      <c r="J40" s="7">
        <f t="shared" si="0"/>
        <v>56.016949152542374</v>
      </c>
      <c r="K40" s="7">
        <f t="shared" si="1"/>
        <v>10.083050847457628</v>
      </c>
      <c r="L40" s="8">
        <v>66.099999999999994</v>
      </c>
      <c r="M40" s="3" t="s">
        <v>19</v>
      </c>
      <c r="N40" s="3">
        <v>202510</v>
      </c>
      <c r="O40" s="3"/>
      <c r="P40" s="3"/>
      <c r="Q40" s="3" t="s">
        <v>204</v>
      </c>
    </row>
    <row r="41" spans="1:17" s="5" customFormat="1" ht="10.050000000000001" customHeight="1" x14ac:dyDescent="0.2">
      <c r="A41" s="3">
        <v>76474877</v>
      </c>
      <c r="B41" s="3" t="s">
        <v>23</v>
      </c>
      <c r="C41" s="3" t="s">
        <v>53</v>
      </c>
      <c r="D41" s="3" t="s">
        <v>16</v>
      </c>
      <c r="E41" s="3" t="s">
        <v>17</v>
      </c>
      <c r="F41" s="3">
        <v>20511763089</v>
      </c>
      <c r="G41" s="3" t="s">
        <v>93</v>
      </c>
      <c r="H41" s="3">
        <v>20511763089</v>
      </c>
      <c r="I41" s="4">
        <v>46007</v>
      </c>
      <c r="J41" s="7">
        <f t="shared" si="0"/>
        <v>189.11864406779662</v>
      </c>
      <c r="K41" s="7">
        <f t="shared" si="1"/>
        <v>34.041355932203388</v>
      </c>
      <c r="L41" s="8">
        <v>223.16</v>
      </c>
      <c r="M41" s="3" t="s">
        <v>19</v>
      </c>
      <c r="N41" s="3">
        <v>202510</v>
      </c>
      <c r="O41" s="3"/>
      <c r="P41" s="3" t="s">
        <v>74</v>
      </c>
      <c r="Q41" s="3" t="s">
        <v>205</v>
      </c>
    </row>
    <row r="42" spans="1:17" s="5" customFormat="1" ht="10.050000000000001" customHeight="1" x14ac:dyDescent="0.2">
      <c r="A42" s="3">
        <v>76478040</v>
      </c>
      <c r="B42" s="3" t="s">
        <v>15</v>
      </c>
      <c r="C42" s="3" t="s">
        <v>53</v>
      </c>
      <c r="D42" s="3" t="s">
        <v>16</v>
      </c>
      <c r="E42" s="3" t="s">
        <v>17</v>
      </c>
      <c r="F42" s="3">
        <v>20608123696</v>
      </c>
      <c r="G42" s="3" t="s">
        <v>94</v>
      </c>
      <c r="H42" s="3">
        <v>20608123696</v>
      </c>
      <c r="I42" s="4">
        <v>46008</v>
      </c>
      <c r="J42" s="7">
        <f t="shared" si="0"/>
        <v>56.016949152542374</v>
      </c>
      <c r="K42" s="7">
        <f t="shared" si="1"/>
        <v>10.083050847457628</v>
      </c>
      <c r="L42" s="8">
        <v>66.099999999999994</v>
      </c>
      <c r="M42" s="3" t="s">
        <v>19</v>
      </c>
      <c r="N42" s="3">
        <v>202510</v>
      </c>
      <c r="O42" s="3"/>
      <c r="P42" s="3" t="s">
        <v>206</v>
      </c>
      <c r="Q42" s="3" t="s">
        <v>207</v>
      </c>
    </row>
    <row r="43" spans="1:17" s="5" customFormat="1" ht="10.050000000000001" customHeight="1" x14ac:dyDescent="0.2">
      <c r="A43" s="3">
        <v>76476898</v>
      </c>
      <c r="B43" s="3" t="s">
        <v>15</v>
      </c>
      <c r="C43" s="3" t="s">
        <v>53</v>
      </c>
      <c r="D43" s="3" t="s">
        <v>16</v>
      </c>
      <c r="E43" s="3" t="s">
        <v>17</v>
      </c>
      <c r="F43" s="3">
        <v>20603066112</v>
      </c>
      <c r="G43" s="3" t="s">
        <v>95</v>
      </c>
      <c r="H43" s="3">
        <v>20603066112</v>
      </c>
      <c r="I43" s="4">
        <v>46008</v>
      </c>
      <c r="J43" s="7">
        <f t="shared" si="0"/>
        <v>90.677966101694921</v>
      </c>
      <c r="K43" s="7">
        <f t="shared" si="1"/>
        <v>16.322033898305087</v>
      </c>
      <c r="L43" s="8">
        <v>107</v>
      </c>
      <c r="M43" s="3" t="s">
        <v>19</v>
      </c>
      <c r="N43" s="3">
        <v>202510</v>
      </c>
      <c r="O43" s="3"/>
      <c r="P43" s="3" t="s">
        <v>208</v>
      </c>
      <c r="Q43" s="3" t="s">
        <v>209</v>
      </c>
    </row>
    <row r="44" spans="1:17" s="5" customFormat="1" ht="10.050000000000001" customHeight="1" x14ac:dyDescent="0.2">
      <c r="A44" s="3">
        <v>76477208</v>
      </c>
      <c r="B44" s="3" t="s">
        <v>15</v>
      </c>
      <c r="C44" s="3" t="s">
        <v>53</v>
      </c>
      <c r="D44" s="3" t="s">
        <v>16</v>
      </c>
      <c r="E44" s="3" t="s">
        <v>17</v>
      </c>
      <c r="F44" s="3">
        <v>20604312583</v>
      </c>
      <c r="G44" s="3" t="s">
        <v>96</v>
      </c>
      <c r="H44" s="3">
        <v>20604312583</v>
      </c>
      <c r="I44" s="4">
        <v>46008</v>
      </c>
      <c r="J44" s="7">
        <f t="shared" si="0"/>
        <v>62.711864406779661</v>
      </c>
      <c r="K44" s="7">
        <f t="shared" si="1"/>
        <v>11.288135593220339</v>
      </c>
      <c r="L44" s="8">
        <v>74</v>
      </c>
      <c r="M44" s="3" t="s">
        <v>19</v>
      </c>
      <c r="N44" s="3">
        <v>202510</v>
      </c>
      <c r="O44" s="3"/>
      <c r="P44" s="3" t="s">
        <v>210</v>
      </c>
      <c r="Q44" s="3" t="s">
        <v>211</v>
      </c>
    </row>
    <row r="45" spans="1:17" s="5" customFormat="1" ht="10.050000000000001" customHeight="1" x14ac:dyDescent="0.2">
      <c r="A45" s="3">
        <v>76474010</v>
      </c>
      <c r="B45" s="3" t="s">
        <v>15</v>
      </c>
      <c r="C45" s="3" t="s">
        <v>53</v>
      </c>
      <c r="D45" s="3" t="s">
        <v>16</v>
      </c>
      <c r="E45" s="3" t="s">
        <v>17</v>
      </c>
      <c r="F45" s="3">
        <v>41673301</v>
      </c>
      <c r="G45" s="3" t="s">
        <v>97</v>
      </c>
      <c r="H45" s="3">
        <v>10416733011</v>
      </c>
      <c r="I45" s="4">
        <v>46008</v>
      </c>
      <c r="J45" s="7">
        <f t="shared" si="0"/>
        <v>79.66101694915254</v>
      </c>
      <c r="K45" s="7">
        <f t="shared" si="1"/>
        <v>14.338983050847457</v>
      </c>
      <c r="L45" s="8">
        <v>94</v>
      </c>
      <c r="M45" s="3" t="s">
        <v>19</v>
      </c>
      <c r="N45" s="3" t="s">
        <v>189</v>
      </c>
      <c r="O45" s="3"/>
      <c r="P45" s="3" t="s">
        <v>212</v>
      </c>
      <c r="Q45" s="3" t="s">
        <v>213</v>
      </c>
    </row>
    <row r="46" spans="1:17" s="5" customFormat="1" ht="10.050000000000001" customHeight="1" x14ac:dyDescent="0.2">
      <c r="A46" s="3">
        <v>76475605</v>
      </c>
      <c r="B46" s="3" t="s">
        <v>15</v>
      </c>
      <c r="C46" s="3" t="s">
        <v>53</v>
      </c>
      <c r="D46" s="3" t="s">
        <v>16</v>
      </c>
      <c r="E46" s="3" t="s">
        <v>17</v>
      </c>
      <c r="F46" s="3">
        <v>20551438113</v>
      </c>
      <c r="G46" s="3" t="s">
        <v>98</v>
      </c>
      <c r="H46" s="3">
        <v>20551438113</v>
      </c>
      <c r="I46" s="4">
        <v>46008</v>
      </c>
      <c r="J46" s="7">
        <f t="shared" si="0"/>
        <v>117.79661016949153</v>
      </c>
      <c r="K46" s="7">
        <f t="shared" si="1"/>
        <v>21.203389830508474</v>
      </c>
      <c r="L46" s="8">
        <v>139</v>
      </c>
      <c r="M46" s="3" t="s">
        <v>19</v>
      </c>
      <c r="N46" s="3" t="s">
        <v>189</v>
      </c>
      <c r="O46" s="3"/>
      <c r="P46" s="3" t="s">
        <v>214</v>
      </c>
      <c r="Q46" s="3" t="s">
        <v>215</v>
      </c>
    </row>
    <row r="47" spans="1:17" s="5" customFormat="1" ht="10.050000000000001" customHeight="1" x14ac:dyDescent="0.2">
      <c r="A47" s="3">
        <v>76476513</v>
      </c>
      <c r="B47" s="3" t="s">
        <v>20</v>
      </c>
      <c r="C47" s="3" t="s">
        <v>53</v>
      </c>
      <c r="D47" s="3" t="s">
        <v>16</v>
      </c>
      <c r="E47" s="3" t="s">
        <v>17</v>
      </c>
      <c r="F47" s="3">
        <v>20601813832</v>
      </c>
      <c r="G47" s="3" t="s">
        <v>99</v>
      </c>
      <c r="H47" s="3">
        <v>20601813832</v>
      </c>
      <c r="I47" s="4">
        <v>46002</v>
      </c>
      <c r="J47" s="7">
        <f t="shared" si="0"/>
        <v>104.48305084745763</v>
      </c>
      <c r="K47" s="7">
        <f t="shared" si="1"/>
        <v>18.806949152542373</v>
      </c>
      <c r="L47" s="8">
        <v>123.29</v>
      </c>
      <c r="M47" s="3" t="s">
        <v>19</v>
      </c>
      <c r="N47" s="3">
        <v>202510</v>
      </c>
      <c r="O47" s="3"/>
      <c r="P47" s="3"/>
      <c r="Q47" s="3" t="s">
        <v>216</v>
      </c>
    </row>
    <row r="48" spans="1:17" s="5" customFormat="1" ht="10.050000000000001" customHeight="1" x14ac:dyDescent="0.2">
      <c r="A48" s="3">
        <v>76475776</v>
      </c>
      <c r="B48" s="3" t="s">
        <v>20</v>
      </c>
      <c r="C48" s="3" t="s">
        <v>53</v>
      </c>
      <c r="D48" s="3" t="s">
        <v>16</v>
      </c>
      <c r="E48" s="3" t="s">
        <v>17</v>
      </c>
      <c r="F48" s="3">
        <v>20556935280</v>
      </c>
      <c r="G48" s="3" t="s">
        <v>100</v>
      </c>
      <c r="H48" s="3">
        <v>20556935280</v>
      </c>
      <c r="I48" s="4">
        <v>46008</v>
      </c>
      <c r="J48" s="7">
        <f t="shared" si="0"/>
        <v>111.56779661016951</v>
      </c>
      <c r="K48" s="7">
        <f t="shared" si="1"/>
        <v>20.082203389830511</v>
      </c>
      <c r="L48" s="8">
        <v>131.65</v>
      </c>
      <c r="M48" s="3" t="s">
        <v>19</v>
      </c>
      <c r="N48" s="3">
        <v>202510</v>
      </c>
      <c r="O48" s="3"/>
      <c r="P48" s="3"/>
      <c r="Q48" s="3" t="s">
        <v>217</v>
      </c>
    </row>
    <row r="49" spans="1:17" s="5" customFormat="1" ht="10.050000000000001" customHeight="1" x14ac:dyDescent="0.2">
      <c r="A49" s="3">
        <v>76476825</v>
      </c>
      <c r="B49" s="3" t="s">
        <v>15</v>
      </c>
      <c r="C49" s="3" t="s">
        <v>53</v>
      </c>
      <c r="D49" s="3" t="s">
        <v>16</v>
      </c>
      <c r="E49" s="3" t="s">
        <v>17</v>
      </c>
      <c r="F49" s="3">
        <v>20602849636</v>
      </c>
      <c r="G49" s="3" t="s">
        <v>101</v>
      </c>
      <c r="H49" s="3">
        <v>20602849636</v>
      </c>
      <c r="I49" s="4">
        <v>46008</v>
      </c>
      <c r="J49" s="7">
        <f t="shared" si="0"/>
        <v>68.457627118644069</v>
      </c>
      <c r="K49" s="7">
        <f t="shared" si="1"/>
        <v>12.322372881355932</v>
      </c>
      <c r="L49" s="8">
        <v>80.78</v>
      </c>
      <c r="M49" s="3" t="s">
        <v>19</v>
      </c>
      <c r="N49" s="3" t="s">
        <v>189</v>
      </c>
      <c r="O49" s="3"/>
      <c r="P49" s="3" t="s">
        <v>218</v>
      </c>
      <c r="Q49" s="3" t="s">
        <v>219</v>
      </c>
    </row>
    <row r="50" spans="1:17" s="5" customFormat="1" ht="10.050000000000001" customHeight="1" x14ac:dyDescent="0.2">
      <c r="A50" s="3">
        <v>76477775</v>
      </c>
      <c r="B50" s="3" t="s">
        <v>20</v>
      </c>
      <c r="C50" s="3" t="s">
        <v>53</v>
      </c>
      <c r="D50" s="3" t="s">
        <v>16</v>
      </c>
      <c r="E50" s="3" t="s">
        <v>17</v>
      </c>
      <c r="F50" s="3">
        <v>20606753820</v>
      </c>
      <c r="G50" s="3" t="s">
        <v>102</v>
      </c>
      <c r="H50" s="3">
        <v>20606753820</v>
      </c>
      <c r="I50" s="4">
        <v>46008</v>
      </c>
      <c r="J50" s="7">
        <f t="shared" si="0"/>
        <v>60.406779661016955</v>
      </c>
      <c r="K50" s="7">
        <f t="shared" si="1"/>
        <v>10.873220338983051</v>
      </c>
      <c r="L50" s="8">
        <v>71.28</v>
      </c>
      <c r="M50" s="3" t="s">
        <v>19</v>
      </c>
      <c r="N50" s="3">
        <v>202510</v>
      </c>
      <c r="O50" s="3"/>
      <c r="P50" s="3"/>
      <c r="Q50" s="3" t="s">
        <v>220</v>
      </c>
    </row>
    <row r="51" spans="1:17" s="5" customFormat="1" ht="10.050000000000001" customHeight="1" x14ac:dyDescent="0.2">
      <c r="A51" s="3">
        <v>76474698</v>
      </c>
      <c r="B51" s="3" t="s">
        <v>15</v>
      </c>
      <c r="C51" s="3" t="s">
        <v>53</v>
      </c>
      <c r="D51" s="3" t="s">
        <v>16</v>
      </c>
      <c r="E51" s="3" t="s">
        <v>17</v>
      </c>
      <c r="F51" s="3">
        <v>20492994945</v>
      </c>
      <c r="G51" s="3" t="s">
        <v>103</v>
      </c>
      <c r="H51" s="3">
        <v>20492994945</v>
      </c>
      <c r="I51" s="4">
        <v>46008</v>
      </c>
      <c r="J51" s="7">
        <f t="shared" si="0"/>
        <v>281.35593220338984</v>
      </c>
      <c r="K51" s="7">
        <f t="shared" si="1"/>
        <v>50.644067796610166</v>
      </c>
      <c r="L51" s="8">
        <v>332</v>
      </c>
      <c r="M51" s="3" t="s">
        <v>18</v>
      </c>
      <c r="N51" s="3">
        <v>202510</v>
      </c>
      <c r="O51" s="3">
        <v>202510</v>
      </c>
      <c r="P51" s="3" t="s">
        <v>221</v>
      </c>
      <c r="Q51" s="3" t="s">
        <v>222</v>
      </c>
    </row>
    <row r="52" spans="1:17" s="5" customFormat="1" ht="10.050000000000001" customHeight="1" x14ac:dyDescent="0.2">
      <c r="A52" s="3">
        <v>76477704</v>
      </c>
      <c r="B52" s="3" t="s">
        <v>15</v>
      </c>
      <c r="C52" s="3" t="s">
        <v>53</v>
      </c>
      <c r="D52" s="3" t="s">
        <v>16</v>
      </c>
      <c r="E52" s="3" t="s">
        <v>17</v>
      </c>
      <c r="F52" s="3">
        <v>20606518235</v>
      </c>
      <c r="G52" s="3" t="s">
        <v>104</v>
      </c>
      <c r="H52" s="3">
        <v>20606518235</v>
      </c>
      <c r="I52" s="4">
        <v>46009</v>
      </c>
      <c r="J52" s="7">
        <f t="shared" si="0"/>
        <v>60.16949152542373</v>
      </c>
      <c r="K52" s="7">
        <f t="shared" si="1"/>
        <v>10.830508474576272</v>
      </c>
      <c r="L52" s="8">
        <v>71</v>
      </c>
      <c r="M52" s="3" t="s">
        <v>19</v>
      </c>
      <c r="N52" s="3">
        <v>202510</v>
      </c>
      <c r="O52" s="3"/>
      <c r="P52" s="3" t="s">
        <v>223</v>
      </c>
      <c r="Q52" s="3" t="s">
        <v>224</v>
      </c>
    </row>
    <row r="53" spans="1:17" s="5" customFormat="1" ht="10.050000000000001" customHeight="1" x14ac:dyDescent="0.2">
      <c r="A53" s="3">
        <v>76478655</v>
      </c>
      <c r="B53" s="3" t="s">
        <v>15</v>
      </c>
      <c r="C53" s="3" t="s">
        <v>53</v>
      </c>
      <c r="D53" s="3" t="s">
        <v>16</v>
      </c>
      <c r="E53" s="3" t="s">
        <v>17</v>
      </c>
      <c r="F53" s="3">
        <v>20610621351</v>
      </c>
      <c r="G53" s="3" t="s">
        <v>105</v>
      </c>
      <c r="H53" s="3">
        <v>20610621351</v>
      </c>
      <c r="I53" s="4">
        <v>46009</v>
      </c>
      <c r="J53" s="7">
        <f t="shared" si="0"/>
        <v>78.813559322033896</v>
      </c>
      <c r="K53" s="7">
        <f t="shared" si="1"/>
        <v>14.1864406779661</v>
      </c>
      <c r="L53" s="8">
        <v>93</v>
      </c>
      <c r="M53" s="3" t="s">
        <v>19</v>
      </c>
      <c r="N53" s="3" t="s">
        <v>181</v>
      </c>
      <c r="O53" s="3"/>
      <c r="P53" s="3" t="s">
        <v>225</v>
      </c>
      <c r="Q53" s="3" t="s">
        <v>226</v>
      </c>
    </row>
    <row r="54" spans="1:17" s="5" customFormat="1" ht="10.050000000000001" customHeight="1" x14ac:dyDescent="0.2">
      <c r="A54" s="3">
        <v>76477598</v>
      </c>
      <c r="B54" s="3" t="s">
        <v>15</v>
      </c>
      <c r="C54" s="3" t="s">
        <v>53</v>
      </c>
      <c r="D54" s="3" t="s">
        <v>16</v>
      </c>
      <c r="E54" s="3" t="s">
        <v>17</v>
      </c>
      <c r="F54" s="3">
        <v>20606102187</v>
      </c>
      <c r="G54" s="3" t="s">
        <v>106</v>
      </c>
      <c r="H54" s="3">
        <v>20606102187</v>
      </c>
      <c r="I54" s="4">
        <v>46008</v>
      </c>
      <c r="J54" s="7">
        <f t="shared" si="0"/>
        <v>136.4406779661017</v>
      </c>
      <c r="K54" s="7">
        <f t="shared" si="1"/>
        <v>24.559322033898304</v>
      </c>
      <c r="L54" s="8">
        <v>161</v>
      </c>
      <c r="M54" s="3" t="s">
        <v>19</v>
      </c>
      <c r="N54" s="3">
        <v>202510</v>
      </c>
      <c r="O54" s="3"/>
      <c r="P54" s="3" t="s">
        <v>227</v>
      </c>
      <c r="Q54" s="3" t="s">
        <v>228</v>
      </c>
    </row>
    <row r="55" spans="1:17" s="5" customFormat="1" ht="10.050000000000001" customHeight="1" x14ac:dyDescent="0.2">
      <c r="A55" s="3">
        <v>76475622</v>
      </c>
      <c r="B55" s="3" t="s">
        <v>15</v>
      </c>
      <c r="C55" s="3" t="s">
        <v>53</v>
      </c>
      <c r="D55" s="3" t="s">
        <v>16</v>
      </c>
      <c r="E55" s="3" t="s">
        <v>17</v>
      </c>
      <c r="F55" s="3">
        <v>20551916970</v>
      </c>
      <c r="G55" s="3" t="s">
        <v>107</v>
      </c>
      <c r="H55" s="3">
        <v>20551916970</v>
      </c>
      <c r="I55" s="4">
        <v>46009</v>
      </c>
      <c r="J55" s="7">
        <f t="shared" si="0"/>
        <v>56.016949152542374</v>
      </c>
      <c r="K55" s="7">
        <f t="shared" si="1"/>
        <v>10.083050847457628</v>
      </c>
      <c r="L55" s="8">
        <v>66.099999999999994</v>
      </c>
      <c r="M55" s="3" t="s">
        <v>19</v>
      </c>
      <c r="N55" s="3">
        <v>202510</v>
      </c>
      <c r="O55" s="3"/>
      <c r="P55" s="3" t="s">
        <v>229</v>
      </c>
      <c r="Q55" s="3" t="s">
        <v>230</v>
      </c>
    </row>
    <row r="56" spans="1:17" s="5" customFormat="1" ht="10.050000000000001" customHeight="1" x14ac:dyDescent="0.2">
      <c r="A56" s="3">
        <v>76474540</v>
      </c>
      <c r="B56" s="3" t="s">
        <v>15</v>
      </c>
      <c r="C56" s="3" t="s">
        <v>53</v>
      </c>
      <c r="D56" s="3" t="s">
        <v>16</v>
      </c>
      <c r="E56" s="3" t="s">
        <v>17</v>
      </c>
      <c r="F56" s="3">
        <v>20478157976</v>
      </c>
      <c r="G56" s="3" t="s">
        <v>108</v>
      </c>
      <c r="H56" s="3">
        <v>20478157976</v>
      </c>
      <c r="I56" s="4">
        <v>46009</v>
      </c>
      <c r="J56" s="7">
        <f t="shared" si="0"/>
        <v>56.016949152542374</v>
      </c>
      <c r="K56" s="7">
        <f t="shared" si="1"/>
        <v>10.083050847457628</v>
      </c>
      <c r="L56" s="8">
        <v>66.099999999999994</v>
      </c>
      <c r="M56" s="3" t="s">
        <v>19</v>
      </c>
      <c r="N56" s="3">
        <v>202510</v>
      </c>
      <c r="O56" s="3"/>
      <c r="P56" s="3" t="s">
        <v>231</v>
      </c>
      <c r="Q56" s="3" t="s">
        <v>232</v>
      </c>
    </row>
    <row r="57" spans="1:17" s="5" customFormat="1" ht="10.050000000000001" customHeight="1" x14ac:dyDescent="0.2">
      <c r="A57" s="3">
        <v>76475394</v>
      </c>
      <c r="B57" s="3" t="s">
        <v>20</v>
      </c>
      <c r="C57" s="3" t="s">
        <v>53</v>
      </c>
      <c r="D57" s="3" t="s">
        <v>16</v>
      </c>
      <c r="E57" s="3" t="s">
        <v>17</v>
      </c>
      <c r="F57" s="3">
        <v>20542353059</v>
      </c>
      <c r="G57" s="3" t="s">
        <v>109</v>
      </c>
      <c r="H57" s="3">
        <v>20542353059</v>
      </c>
      <c r="I57" s="4">
        <v>46009</v>
      </c>
      <c r="J57" s="7">
        <f t="shared" si="0"/>
        <v>56.016949152542374</v>
      </c>
      <c r="K57" s="7">
        <f t="shared" si="1"/>
        <v>10.083050847457628</v>
      </c>
      <c r="L57" s="8">
        <v>66.099999999999994</v>
      </c>
      <c r="M57" s="3" t="s">
        <v>19</v>
      </c>
      <c r="N57" s="3">
        <v>202510</v>
      </c>
      <c r="O57" s="3"/>
      <c r="P57" s="3"/>
      <c r="Q57" s="3" t="s">
        <v>233</v>
      </c>
    </row>
    <row r="58" spans="1:17" s="5" customFormat="1" ht="10.050000000000001" customHeight="1" x14ac:dyDescent="0.2">
      <c r="A58" s="3">
        <v>76475653</v>
      </c>
      <c r="B58" s="3" t="s">
        <v>20</v>
      </c>
      <c r="C58" s="3" t="s">
        <v>53</v>
      </c>
      <c r="D58" s="3" t="s">
        <v>16</v>
      </c>
      <c r="E58" s="3" t="s">
        <v>17</v>
      </c>
      <c r="F58" s="3">
        <v>20552638337</v>
      </c>
      <c r="G58" s="3" t="s">
        <v>110</v>
      </c>
      <c r="H58" s="3">
        <v>20552638337</v>
      </c>
      <c r="I58" s="4">
        <v>46009</v>
      </c>
      <c r="J58" s="7">
        <f t="shared" si="0"/>
        <v>56.016949152542374</v>
      </c>
      <c r="K58" s="7">
        <f t="shared" si="1"/>
        <v>10.083050847457628</v>
      </c>
      <c r="L58" s="8">
        <v>66.099999999999994</v>
      </c>
      <c r="M58" s="3" t="s">
        <v>19</v>
      </c>
      <c r="N58" s="3" t="s">
        <v>189</v>
      </c>
      <c r="O58" s="3"/>
      <c r="P58" s="3"/>
      <c r="Q58" s="3" t="s">
        <v>234</v>
      </c>
    </row>
    <row r="59" spans="1:17" s="5" customFormat="1" ht="10.050000000000001" customHeight="1" x14ac:dyDescent="0.2">
      <c r="A59" s="3">
        <v>76479527</v>
      </c>
      <c r="B59" s="3" t="s">
        <v>15</v>
      </c>
      <c r="C59" s="3" t="s">
        <v>53</v>
      </c>
      <c r="D59" s="3" t="s">
        <v>16</v>
      </c>
      <c r="E59" s="3" t="s">
        <v>17</v>
      </c>
      <c r="F59" s="3">
        <v>20614566842</v>
      </c>
      <c r="G59" s="3" t="s">
        <v>111</v>
      </c>
      <c r="H59" s="3">
        <v>20614566842</v>
      </c>
      <c r="I59" s="4">
        <v>46009</v>
      </c>
      <c r="J59" s="7">
        <f t="shared" si="0"/>
        <v>111.86440677966102</v>
      </c>
      <c r="K59" s="7">
        <f t="shared" si="1"/>
        <v>20.135593220338983</v>
      </c>
      <c r="L59" s="8">
        <v>132</v>
      </c>
      <c r="M59" s="3" t="s">
        <v>19</v>
      </c>
      <c r="N59" s="3">
        <v>202510</v>
      </c>
      <c r="O59" s="3"/>
      <c r="P59" s="3" t="s">
        <v>235</v>
      </c>
      <c r="Q59" s="3" t="s">
        <v>236</v>
      </c>
    </row>
    <row r="60" spans="1:17" s="5" customFormat="1" ht="10.050000000000001" customHeight="1" x14ac:dyDescent="0.2">
      <c r="A60" s="3">
        <v>76474203</v>
      </c>
      <c r="B60" s="3" t="s">
        <v>15</v>
      </c>
      <c r="C60" s="3" t="s">
        <v>53</v>
      </c>
      <c r="D60" s="3" t="s">
        <v>16</v>
      </c>
      <c r="E60" s="3" t="s">
        <v>17</v>
      </c>
      <c r="F60" s="3">
        <v>20113539675</v>
      </c>
      <c r="G60" s="3" t="s">
        <v>112</v>
      </c>
      <c r="H60" s="3">
        <v>20113539675</v>
      </c>
      <c r="I60" s="4">
        <v>46010</v>
      </c>
      <c r="J60" s="7">
        <f t="shared" si="0"/>
        <v>56.016949152542374</v>
      </c>
      <c r="K60" s="7">
        <f t="shared" si="1"/>
        <v>10.083050847457628</v>
      </c>
      <c r="L60" s="8">
        <v>66.099999999999994</v>
      </c>
      <c r="M60" s="3" t="s">
        <v>19</v>
      </c>
      <c r="N60" s="3">
        <v>202510</v>
      </c>
      <c r="O60" s="3"/>
      <c r="P60" s="3"/>
      <c r="Q60" s="3" t="s">
        <v>237</v>
      </c>
    </row>
    <row r="61" spans="1:17" s="5" customFormat="1" ht="10.050000000000001" customHeight="1" x14ac:dyDescent="0.2">
      <c r="A61" s="3">
        <v>76487874</v>
      </c>
      <c r="B61" s="3" t="s">
        <v>48</v>
      </c>
      <c r="C61" s="3" t="s">
        <v>53</v>
      </c>
      <c r="D61" s="3" t="s">
        <v>81</v>
      </c>
      <c r="E61" s="3" t="s">
        <v>82</v>
      </c>
      <c r="F61" s="3">
        <v>20137777305</v>
      </c>
      <c r="G61" s="3" t="s">
        <v>113</v>
      </c>
      <c r="H61" s="3">
        <v>20137777305</v>
      </c>
      <c r="I61" s="4">
        <v>46013</v>
      </c>
      <c r="J61" s="7">
        <f t="shared" si="0"/>
        <v>56.016949152542374</v>
      </c>
      <c r="K61" s="7">
        <f t="shared" si="1"/>
        <v>10.083050847457628</v>
      </c>
      <c r="L61" s="8">
        <v>66.099999999999994</v>
      </c>
      <c r="M61" s="3" t="s">
        <v>19</v>
      </c>
      <c r="N61" s="3">
        <v>200805</v>
      </c>
      <c r="O61" s="3"/>
      <c r="P61" s="3"/>
      <c r="Q61" s="3" t="s">
        <v>238</v>
      </c>
    </row>
    <row r="62" spans="1:17" s="5" customFormat="1" ht="10.050000000000001" customHeight="1" x14ac:dyDescent="0.2">
      <c r="A62" s="3">
        <v>76473871</v>
      </c>
      <c r="B62" s="3" t="s">
        <v>15</v>
      </c>
      <c r="C62" s="3" t="s">
        <v>53</v>
      </c>
      <c r="D62" s="3" t="s">
        <v>16</v>
      </c>
      <c r="E62" s="3" t="s">
        <v>17</v>
      </c>
      <c r="F62" s="3">
        <v>9941943</v>
      </c>
      <c r="G62" s="3" t="s">
        <v>114</v>
      </c>
      <c r="H62" s="3">
        <v>10099419437</v>
      </c>
      <c r="I62" s="4">
        <v>46013</v>
      </c>
      <c r="J62" s="7">
        <f t="shared" si="0"/>
        <v>74.576271186440678</v>
      </c>
      <c r="K62" s="7">
        <f t="shared" si="1"/>
        <v>13.423728813559322</v>
      </c>
      <c r="L62" s="8">
        <v>88</v>
      </c>
      <c r="M62" s="3" t="s">
        <v>19</v>
      </c>
      <c r="N62" s="3" t="s">
        <v>181</v>
      </c>
      <c r="O62" s="3"/>
      <c r="P62" s="3" t="s">
        <v>239</v>
      </c>
      <c r="Q62" s="3" t="s">
        <v>240</v>
      </c>
    </row>
    <row r="63" spans="1:17" s="5" customFormat="1" ht="10.050000000000001" customHeight="1" x14ac:dyDescent="0.2">
      <c r="A63" s="3">
        <v>76478856</v>
      </c>
      <c r="B63" s="3" t="s">
        <v>48</v>
      </c>
      <c r="C63" s="3" t="s">
        <v>53</v>
      </c>
      <c r="D63" s="3" t="s">
        <v>16</v>
      </c>
      <c r="E63" s="3" t="s">
        <v>17</v>
      </c>
      <c r="F63" s="3">
        <v>20611542721</v>
      </c>
      <c r="G63" s="3" t="s">
        <v>115</v>
      </c>
      <c r="H63" s="3">
        <v>20611542721</v>
      </c>
      <c r="I63" s="4">
        <v>46010</v>
      </c>
      <c r="J63" s="7">
        <f t="shared" si="0"/>
        <v>216.88135593220338</v>
      </c>
      <c r="K63" s="7">
        <f t="shared" si="1"/>
        <v>39.038644067796604</v>
      </c>
      <c r="L63" s="8">
        <v>255.92</v>
      </c>
      <c r="M63" s="3" t="s">
        <v>19</v>
      </c>
      <c r="N63" s="3">
        <v>202510</v>
      </c>
      <c r="O63" s="3"/>
      <c r="P63" s="3"/>
      <c r="Q63" s="3" t="s">
        <v>241</v>
      </c>
    </row>
    <row r="64" spans="1:17" s="5" customFormat="1" ht="10.050000000000001" customHeight="1" x14ac:dyDescent="0.2">
      <c r="A64" s="3">
        <v>76479209</v>
      </c>
      <c r="B64" s="3" t="s">
        <v>48</v>
      </c>
      <c r="C64" s="3" t="s">
        <v>53</v>
      </c>
      <c r="D64" s="3" t="s">
        <v>16</v>
      </c>
      <c r="E64" s="3" t="s">
        <v>17</v>
      </c>
      <c r="F64" s="3">
        <v>20613040146</v>
      </c>
      <c r="G64" s="3" t="s">
        <v>116</v>
      </c>
      <c r="H64" s="3">
        <v>20613040146</v>
      </c>
      <c r="I64" s="4">
        <v>46010</v>
      </c>
      <c r="J64" s="7">
        <f t="shared" si="0"/>
        <v>271.69491525423734</v>
      </c>
      <c r="K64" s="7">
        <f t="shared" si="1"/>
        <v>48.905084745762721</v>
      </c>
      <c r="L64" s="8">
        <v>320.60000000000002</v>
      </c>
      <c r="M64" s="3" t="s">
        <v>19</v>
      </c>
      <c r="N64" s="3" t="s">
        <v>242</v>
      </c>
      <c r="O64" s="3"/>
      <c r="P64" s="3"/>
      <c r="Q64" s="3" t="s">
        <v>243</v>
      </c>
    </row>
    <row r="65" spans="1:17" s="5" customFormat="1" ht="10.050000000000001" customHeight="1" x14ac:dyDescent="0.2">
      <c r="A65" s="3">
        <v>76479156</v>
      </c>
      <c r="B65" s="3" t="s">
        <v>20</v>
      </c>
      <c r="C65" s="3" t="s">
        <v>53</v>
      </c>
      <c r="D65" s="3" t="s">
        <v>16</v>
      </c>
      <c r="E65" s="3" t="s">
        <v>17</v>
      </c>
      <c r="F65" s="3">
        <v>20612797243</v>
      </c>
      <c r="G65" s="3" t="s">
        <v>117</v>
      </c>
      <c r="H65" s="3">
        <v>20612797243</v>
      </c>
      <c r="I65" s="4">
        <v>46010</v>
      </c>
      <c r="J65" s="7">
        <f t="shared" si="0"/>
        <v>86.381355932203405</v>
      </c>
      <c r="K65" s="7">
        <f t="shared" si="1"/>
        <v>15.548644067796612</v>
      </c>
      <c r="L65" s="8">
        <v>101.93</v>
      </c>
      <c r="M65" s="3" t="s">
        <v>19</v>
      </c>
      <c r="N65" s="3" t="s">
        <v>189</v>
      </c>
      <c r="O65" s="3"/>
      <c r="P65" s="3"/>
      <c r="Q65" s="3" t="s">
        <v>244</v>
      </c>
    </row>
    <row r="66" spans="1:17" s="5" customFormat="1" ht="10.050000000000001" customHeight="1" x14ac:dyDescent="0.2">
      <c r="A66" s="3">
        <v>76478745</v>
      </c>
      <c r="B66" s="3" t="s">
        <v>15</v>
      </c>
      <c r="C66" s="3" t="s">
        <v>53</v>
      </c>
      <c r="D66" s="3" t="s">
        <v>16</v>
      </c>
      <c r="E66" s="3" t="s">
        <v>17</v>
      </c>
      <c r="F66" s="3">
        <v>20611056584</v>
      </c>
      <c r="G66" s="3" t="s">
        <v>118</v>
      </c>
      <c r="H66" s="3">
        <v>20611056584</v>
      </c>
      <c r="I66" s="4">
        <v>46010</v>
      </c>
      <c r="J66" s="7">
        <f t="shared" si="0"/>
        <v>56.016949152542374</v>
      </c>
      <c r="K66" s="7">
        <f t="shared" si="1"/>
        <v>10.083050847457628</v>
      </c>
      <c r="L66" s="8">
        <v>66.099999999999994</v>
      </c>
      <c r="M66" s="3" t="s">
        <v>19</v>
      </c>
      <c r="N66" s="3">
        <v>202510</v>
      </c>
      <c r="O66" s="3"/>
      <c r="P66" s="3" t="s">
        <v>214</v>
      </c>
      <c r="Q66" s="3" t="s">
        <v>245</v>
      </c>
    </row>
    <row r="67" spans="1:17" s="5" customFormat="1" ht="10.050000000000001" customHeight="1" x14ac:dyDescent="0.2">
      <c r="A67" s="3">
        <v>76473820</v>
      </c>
      <c r="B67" s="3" t="s">
        <v>15</v>
      </c>
      <c r="C67" s="3" t="s">
        <v>53</v>
      </c>
      <c r="D67" s="3" t="s">
        <v>16</v>
      </c>
      <c r="E67" s="3" t="s">
        <v>17</v>
      </c>
      <c r="F67" s="3">
        <v>2867667</v>
      </c>
      <c r="G67" s="3" t="s">
        <v>119</v>
      </c>
      <c r="H67" s="3">
        <v>10028676676</v>
      </c>
      <c r="I67" s="4">
        <v>46010</v>
      </c>
      <c r="J67" s="7">
        <f t="shared" ref="J67:J130" si="2">+L67/1.18</f>
        <v>62.711864406779661</v>
      </c>
      <c r="K67" s="7">
        <f t="shared" ref="K67:K130" si="3">J67*0.18</f>
        <v>11.288135593220339</v>
      </c>
      <c r="L67" s="8">
        <v>74</v>
      </c>
      <c r="M67" s="3" t="s">
        <v>19</v>
      </c>
      <c r="N67" s="3" t="s">
        <v>246</v>
      </c>
      <c r="O67" s="3"/>
      <c r="P67" s="3" t="s">
        <v>247</v>
      </c>
      <c r="Q67" s="3" t="s">
        <v>248</v>
      </c>
    </row>
    <row r="68" spans="1:17" s="5" customFormat="1" ht="10.050000000000001" customHeight="1" x14ac:dyDescent="0.2">
      <c r="A68" s="3">
        <v>76478099</v>
      </c>
      <c r="B68" s="3" t="s">
        <v>48</v>
      </c>
      <c r="C68" s="3" t="s">
        <v>53</v>
      </c>
      <c r="D68" s="3" t="s">
        <v>16</v>
      </c>
      <c r="E68" s="3" t="s">
        <v>17</v>
      </c>
      <c r="F68" s="3">
        <v>20608421671</v>
      </c>
      <c r="G68" s="3" t="s">
        <v>120</v>
      </c>
      <c r="H68" s="3">
        <v>20608421671</v>
      </c>
      <c r="I68" s="4">
        <v>46010</v>
      </c>
      <c r="J68" s="7">
        <f t="shared" si="2"/>
        <v>195.22881355932205</v>
      </c>
      <c r="K68" s="7">
        <f t="shared" si="3"/>
        <v>35.14118644067797</v>
      </c>
      <c r="L68" s="8">
        <v>230.37</v>
      </c>
      <c r="M68" s="3" t="s">
        <v>19</v>
      </c>
      <c r="N68" s="3" t="s">
        <v>189</v>
      </c>
      <c r="O68" s="3"/>
      <c r="P68" s="3" t="s">
        <v>249</v>
      </c>
      <c r="Q68" s="3" t="s">
        <v>250</v>
      </c>
    </row>
    <row r="69" spans="1:17" s="5" customFormat="1" ht="10.050000000000001" customHeight="1" x14ac:dyDescent="0.2">
      <c r="A69" s="3">
        <v>76478834</v>
      </c>
      <c r="B69" s="3" t="s">
        <v>20</v>
      </c>
      <c r="C69" s="3" t="s">
        <v>53</v>
      </c>
      <c r="D69" s="3" t="s">
        <v>16</v>
      </c>
      <c r="E69" s="3" t="s">
        <v>17</v>
      </c>
      <c r="F69" s="3">
        <v>20611458411</v>
      </c>
      <c r="G69" s="3" t="s">
        <v>121</v>
      </c>
      <c r="H69" s="3">
        <v>20611458411</v>
      </c>
      <c r="I69" s="4">
        <v>46010</v>
      </c>
      <c r="J69" s="7">
        <f t="shared" si="2"/>
        <v>78.033898305084747</v>
      </c>
      <c r="K69" s="7">
        <f t="shared" si="3"/>
        <v>14.046101694915254</v>
      </c>
      <c r="L69" s="8">
        <v>92.08</v>
      </c>
      <c r="M69" s="3" t="s">
        <v>19</v>
      </c>
      <c r="N69" s="3" t="s">
        <v>181</v>
      </c>
      <c r="O69" s="3"/>
      <c r="P69" s="3"/>
      <c r="Q69" s="3" t="s">
        <v>251</v>
      </c>
    </row>
    <row r="70" spans="1:17" s="5" customFormat="1" ht="10.050000000000001" customHeight="1" x14ac:dyDescent="0.2">
      <c r="A70" s="3">
        <v>76513510</v>
      </c>
      <c r="B70" s="3" t="s">
        <v>24</v>
      </c>
      <c r="C70" s="3" t="s">
        <v>53</v>
      </c>
      <c r="D70" s="3" t="s">
        <v>21</v>
      </c>
      <c r="E70" s="3" t="s">
        <v>22</v>
      </c>
      <c r="F70" s="3">
        <v>20506112487</v>
      </c>
      <c r="G70" s="3" t="s">
        <v>293</v>
      </c>
      <c r="H70" s="3">
        <v>20506112487</v>
      </c>
      <c r="I70" s="4">
        <v>46010</v>
      </c>
      <c r="J70" s="7">
        <f t="shared" si="2"/>
        <v>1074.3474576271187</v>
      </c>
      <c r="K70" s="7">
        <f t="shared" si="3"/>
        <v>193.38254237288137</v>
      </c>
      <c r="L70" s="8">
        <v>1267.73</v>
      </c>
      <c r="M70" s="3" t="s">
        <v>294</v>
      </c>
      <c r="N70" s="3"/>
      <c r="O70" s="3"/>
      <c r="P70" s="3"/>
      <c r="Q70" s="3" t="s">
        <v>295</v>
      </c>
    </row>
    <row r="71" spans="1:17" s="5" customFormat="1" ht="10.050000000000001" customHeight="1" x14ac:dyDescent="0.2">
      <c r="A71" s="3">
        <v>76501464</v>
      </c>
      <c r="B71" s="3" t="s">
        <v>89</v>
      </c>
      <c r="C71" s="3" t="s">
        <v>53</v>
      </c>
      <c r="D71" s="3" t="s">
        <v>90</v>
      </c>
      <c r="E71" s="3" t="s">
        <v>91</v>
      </c>
      <c r="F71" s="3">
        <v>20551106897</v>
      </c>
      <c r="G71" s="3" t="s">
        <v>122</v>
      </c>
      <c r="H71" s="3">
        <v>20551106897</v>
      </c>
      <c r="I71" s="4">
        <v>46010</v>
      </c>
      <c r="J71" s="7">
        <f t="shared" si="2"/>
        <v>235.18644067796609</v>
      </c>
      <c r="K71" s="7">
        <f t="shared" si="3"/>
        <v>42.333559322033892</v>
      </c>
      <c r="L71" s="8">
        <v>277.52</v>
      </c>
      <c r="M71" s="3" t="s">
        <v>19</v>
      </c>
      <c r="N71" s="3">
        <v>202510</v>
      </c>
      <c r="O71" s="3"/>
      <c r="P71" s="3"/>
      <c r="Q71" s="3" t="s">
        <v>252</v>
      </c>
    </row>
    <row r="72" spans="1:17" s="5" customFormat="1" ht="10.050000000000001" customHeight="1" x14ac:dyDescent="0.2">
      <c r="A72" s="3">
        <v>76479150</v>
      </c>
      <c r="B72" s="3" t="s">
        <v>20</v>
      </c>
      <c r="C72" s="3" t="s">
        <v>53</v>
      </c>
      <c r="D72" s="3" t="s">
        <v>16</v>
      </c>
      <c r="E72" s="3" t="s">
        <v>17</v>
      </c>
      <c r="F72" s="3">
        <v>20612770621</v>
      </c>
      <c r="G72" s="3" t="s">
        <v>123</v>
      </c>
      <c r="H72" s="3">
        <v>20612770621</v>
      </c>
      <c r="I72" s="4">
        <v>46003</v>
      </c>
      <c r="J72" s="7">
        <f t="shared" si="2"/>
        <v>147.77966101694915</v>
      </c>
      <c r="K72" s="7">
        <f t="shared" si="3"/>
        <v>26.600338983050847</v>
      </c>
      <c r="L72" s="8">
        <v>174.38</v>
      </c>
      <c r="M72" s="3" t="s">
        <v>19</v>
      </c>
      <c r="N72" s="3" t="s">
        <v>189</v>
      </c>
      <c r="O72" s="3"/>
      <c r="P72" s="3"/>
      <c r="Q72" s="3" t="s">
        <v>253</v>
      </c>
    </row>
    <row r="73" spans="1:17" s="5" customFormat="1" ht="10.050000000000001" customHeight="1" x14ac:dyDescent="0.2">
      <c r="A73" s="3">
        <v>76474511</v>
      </c>
      <c r="B73" s="3" t="s">
        <v>15</v>
      </c>
      <c r="C73" s="3" t="s">
        <v>53</v>
      </c>
      <c r="D73" s="3" t="s">
        <v>16</v>
      </c>
      <c r="E73" s="3" t="s">
        <v>17</v>
      </c>
      <c r="F73" s="3">
        <v>20475236131</v>
      </c>
      <c r="G73" s="3" t="s">
        <v>124</v>
      </c>
      <c r="H73" s="3">
        <v>20475236131</v>
      </c>
      <c r="I73" s="4">
        <v>46010</v>
      </c>
      <c r="J73" s="7">
        <f t="shared" si="2"/>
        <v>86.440677966101703</v>
      </c>
      <c r="K73" s="7">
        <f t="shared" si="3"/>
        <v>15.559322033898306</v>
      </c>
      <c r="L73" s="8">
        <v>102</v>
      </c>
      <c r="M73" s="3" t="s">
        <v>19</v>
      </c>
      <c r="N73" s="3">
        <v>202505</v>
      </c>
      <c r="O73" s="3"/>
      <c r="P73" s="3" t="s">
        <v>254</v>
      </c>
      <c r="Q73" s="3" t="s">
        <v>255</v>
      </c>
    </row>
    <row r="74" spans="1:17" s="5" customFormat="1" ht="10.050000000000001" customHeight="1" x14ac:dyDescent="0.2">
      <c r="A74" s="3">
        <v>76475422</v>
      </c>
      <c r="B74" s="3" t="s">
        <v>20</v>
      </c>
      <c r="C74" s="3" t="s">
        <v>53</v>
      </c>
      <c r="D74" s="3" t="s">
        <v>16</v>
      </c>
      <c r="E74" s="3" t="s">
        <v>17</v>
      </c>
      <c r="F74" s="3">
        <v>20544097700</v>
      </c>
      <c r="G74" s="3" t="s">
        <v>125</v>
      </c>
      <c r="H74" s="3">
        <v>20544097700</v>
      </c>
      <c r="I74" s="4">
        <v>46010</v>
      </c>
      <c r="J74" s="7">
        <f t="shared" si="2"/>
        <v>60.016949152542374</v>
      </c>
      <c r="K74" s="7">
        <f t="shared" si="3"/>
        <v>10.803050847457627</v>
      </c>
      <c r="L74" s="8">
        <v>70.819999999999993</v>
      </c>
      <c r="M74" s="3" t="s">
        <v>19</v>
      </c>
      <c r="N74" s="3">
        <v>202510</v>
      </c>
      <c r="O74" s="3"/>
      <c r="P74" s="3"/>
      <c r="Q74" s="3" t="s">
        <v>256</v>
      </c>
    </row>
    <row r="75" spans="1:17" s="5" customFormat="1" ht="10.050000000000001" customHeight="1" x14ac:dyDescent="0.2">
      <c r="A75" s="3">
        <v>76478142</v>
      </c>
      <c r="B75" s="3" t="s">
        <v>15</v>
      </c>
      <c r="C75" s="3" t="s">
        <v>53</v>
      </c>
      <c r="D75" s="3" t="s">
        <v>16</v>
      </c>
      <c r="E75" s="3" t="s">
        <v>17</v>
      </c>
      <c r="F75" s="3">
        <v>20608549332</v>
      </c>
      <c r="G75" s="3" t="s">
        <v>126</v>
      </c>
      <c r="H75" s="3">
        <v>20608549332</v>
      </c>
      <c r="I75" s="4">
        <v>46011</v>
      </c>
      <c r="J75" s="7">
        <f t="shared" si="2"/>
        <v>184.85593220338984</v>
      </c>
      <c r="K75" s="7">
        <f t="shared" si="3"/>
        <v>33.274067796610169</v>
      </c>
      <c r="L75" s="8">
        <v>218.13</v>
      </c>
      <c r="M75" s="3" t="s">
        <v>19</v>
      </c>
      <c r="N75" s="3">
        <v>202510</v>
      </c>
      <c r="O75" s="3"/>
      <c r="P75" s="3" t="s">
        <v>257</v>
      </c>
      <c r="Q75" s="3" t="s">
        <v>258</v>
      </c>
    </row>
    <row r="76" spans="1:17" s="5" customFormat="1" ht="10.050000000000001" customHeight="1" x14ac:dyDescent="0.2">
      <c r="A76" s="3">
        <v>76477146</v>
      </c>
      <c r="B76" s="3" t="s">
        <v>20</v>
      </c>
      <c r="C76" s="3" t="s">
        <v>53</v>
      </c>
      <c r="D76" s="3" t="s">
        <v>16</v>
      </c>
      <c r="E76" s="3" t="s">
        <v>17</v>
      </c>
      <c r="F76" s="3">
        <v>20604020329</v>
      </c>
      <c r="G76" s="3" t="s">
        <v>127</v>
      </c>
      <c r="H76" s="3">
        <v>20604020329</v>
      </c>
      <c r="I76" s="4">
        <v>46013</v>
      </c>
      <c r="J76" s="7">
        <f t="shared" si="2"/>
        <v>399.5169491525424</v>
      </c>
      <c r="K76" s="7">
        <f t="shared" si="3"/>
        <v>71.913050847457626</v>
      </c>
      <c r="L76" s="8">
        <v>471.43</v>
      </c>
      <c r="M76" s="3" t="s">
        <v>19</v>
      </c>
      <c r="N76" s="3">
        <v>202510</v>
      </c>
      <c r="O76" s="3"/>
      <c r="P76" s="3"/>
      <c r="Q76" s="3" t="s">
        <v>259</v>
      </c>
    </row>
    <row r="77" spans="1:17" s="5" customFormat="1" ht="10.050000000000001" customHeight="1" x14ac:dyDescent="0.2">
      <c r="A77" s="3">
        <v>76476153</v>
      </c>
      <c r="B77" s="3" t="s">
        <v>20</v>
      </c>
      <c r="C77" s="3" t="s">
        <v>53</v>
      </c>
      <c r="D77" s="3" t="s">
        <v>16</v>
      </c>
      <c r="E77" s="3" t="s">
        <v>17</v>
      </c>
      <c r="F77" s="3">
        <v>20600634071</v>
      </c>
      <c r="G77" s="3" t="s">
        <v>128</v>
      </c>
      <c r="H77" s="3">
        <v>20600634071</v>
      </c>
      <c r="I77" s="4">
        <v>46013</v>
      </c>
      <c r="J77" s="7">
        <f t="shared" si="2"/>
        <v>120.81355932203391</v>
      </c>
      <c r="K77" s="7">
        <f t="shared" si="3"/>
        <v>21.746440677966103</v>
      </c>
      <c r="L77" s="8">
        <v>142.56</v>
      </c>
      <c r="M77" s="3" t="s">
        <v>19</v>
      </c>
      <c r="N77" s="3">
        <v>202510</v>
      </c>
      <c r="O77" s="3"/>
      <c r="P77" s="3"/>
      <c r="Q77" s="3" t="s">
        <v>260</v>
      </c>
    </row>
    <row r="78" spans="1:17" s="5" customFormat="1" ht="10.050000000000001" customHeight="1" x14ac:dyDescent="0.2">
      <c r="A78" s="3">
        <v>76478073</v>
      </c>
      <c r="B78" s="3" t="s">
        <v>20</v>
      </c>
      <c r="C78" s="3" t="s">
        <v>53</v>
      </c>
      <c r="D78" s="3" t="s">
        <v>16</v>
      </c>
      <c r="E78" s="3" t="s">
        <v>17</v>
      </c>
      <c r="F78" s="3">
        <v>20608307410</v>
      </c>
      <c r="G78" s="3" t="s">
        <v>129</v>
      </c>
      <c r="H78" s="3">
        <v>20608307410</v>
      </c>
      <c r="I78" s="4">
        <v>46013</v>
      </c>
      <c r="J78" s="7">
        <f t="shared" si="2"/>
        <v>68.330508474576277</v>
      </c>
      <c r="K78" s="7">
        <f t="shared" si="3"/>
        <v>12.299491525423729</v>
      </c>
      <c r="L78" s="8">
        <v>80.63</v>
      </c>
      <c r="M78" s="3" t="s">
        <v>18</v>
      </c>
      <c r="N78" s="3">
        <v>202509</v>
      </c>
      <c r="O78" s="3">
        <v>202510</v>
      </c>
      <c r="P78" s="3"/>
      <c r="Q78" s="3" t="s">
        <v>261</v>
      </c>
    </row>
    <row r="79" spans="1:17" s="5" customFormat="1" ht="10.050000000000001" customHeight="1" x14ac:dyDescent="0.2">
      <c r="A79" s="3">
        <v>76512803</v>
      </c>
      <c r="B79" s="3" t="s">
        <v>24</v>
      </c>
      <c r="C79" s="3" t="s">
        <v>53</v>
      </c>
      <c r="D79" s="3" t="s">
        <v>21</v>
      </c>
      <c r="E79" s="3" t="s">
        <v>22</v>
      </c>
      <c r="F79" s="3">
        <v>20477349243</v>
      </c>
      <c r="G79" s="3" t="s">
        <v>130</v>
      </c>
      <c r="H79" s="3">
        <v>20477349243</v>
      </c>
      <c r="I79" s="4">
        <v>46010</v>
      </c>
      <c r="J79" s="7">
        <f t="shared" si="2"/>
        <v>1193.8728813559323</v>
      </c>
      <c r="K79" s="7">
        <f t="shared" si="3"/>
        <v>214.8971186440678</v>
      </c>
      <c r="L79" s="8">
        <v>1408.77</v>
      </c>
      <c r="M79" s="3" t="s">
        <v>19</v>
      </c>
      <c r="N79" s="3" t="s">
        <v>262</v>
      </c>
      <c r="O79" s="3"/>
      <c r="P79" s="3" t="s">
        <v>263</v>
      </c>
      <c r="Q79" s="3" t="s">
        <v>264</v>
      </c>
    </row>
    <row r="80" spans="1:17" s="5" customFormat="1" ht="10.050000000000001" customHeight="1" x14ac:dyDescent="0.2">
      <c r="A80" s="3">
        <v>76475906</v>
      </c>
      <c r="B80" s="3" t="s">
        <v>15</v>
      </c>
      <c r="C80" s="3" t="s">
        <v>53</v>
      </c>
      <c r="D80" s="3" t="s">
        <v>16</v>
      </c>
      <c r="E80" s="3" t="s">
        <v>17</v>
      </c>
      <c r="F80" s="3">
        <v>20565549805</v>
      </c>
      <c r="G80" s="3" t="s">
        <v>131</v>
      </c>
      <c r="H80" s="3">
        <v>20565549805</v>
      </c>
      <c r="I80" s="4">
        <v>46013</v>
      </c>
      <c r="J80" s="7">
        <f t="shared" si="2"/>
        <v>61.016949152542374</v>
      </c>
      <c r="K80" s="7">
        <f t="shared" si="3"/>
        <v>10.983050847457626</v>
      </c>
      <c r="L80" s="8">
        <v>72</v>
      </c>
      <c r="M80" s="3" t="s">
        <v>19</v>
      </c>
      <c r="N80" s="3">
        <v>202510</v>
      </c>
      <c r="O80" s="3"/>
      <c r="P80" s="3" t="s">
        <v>265</v>
      </c>
      <c r="Q80" s="3" t="s">
        <v>266</v>
      </c>
    </row>
    <row r="81" spans="1:17" s="5" customFormat="1" ht="10.050000000000001" customHeight="1" x14ac:dyDescent="0.2">
      <c r="A81" s="3">
        <v>76474914</v>
      </c>
      <c r="B81" s="3" t="s">
        <v>15</v>
      </c>
      <c r="C81" s="3" t="s">
        <v>53</v>
      </c>
      <c r="D81" s="3" t="s">
        <v>16</v>
      </c>
      <c r="E81" s="3" t="s">
        <v>17</v>
      </c>
      <c r="F81" s="3">
        <v>20513555475</v>
      </c>
      <c r="G81" s="3" t="s">
        <v>132</v>
      </c>
      <c r="H81" s="3">
        <v>20513555475</v>
      </c>
      <c r="I81" s="4">
        <v>46013</v>
      </c>
      <c r="J81" s="7">
        <f t="shared" si="2"/>
        <v>62.711864406779661</v>
      </c>
      <c r="K81" s="7">
        <f t="shared" si="3"/>
        <v>11.288135593220339</v>
      </c>
      <c r="L81" s="8">
        <v>74</v>
      </c>
      <c r="M81" s="3" t="s">
        <v>19</v>
      </c>
      <c r="N81" s="3" t="s">
        <v>189</v>
      </c>
      <c r="O81" s="3"/>
      <c r="P81" s="3" t="s">
        <v>267</v>
      </c>
      <c r="Q81" s="3" t="s">
        <v>268</v>
      </c>
    </row>
    <row r="82" spans="1:17" s="5" customFormat="1" ht="10.050000000000001" customHeight="1" x14ac:dyDescent="0.2">
      <c r="A82" s="3">
        <v>76475500</v>
      </c>
      <c r="B82" s="3" t="s">
        <v>20</v>
      </c>
      <c r="C82" s="3" t="s">
        <v>53</v>
      </c>
      <c r="D82" s="3" t="s">
        <v>16</v>
      </c>
      <c r="E82" s="3" t="s">
        <v>17</v>
      </c>
      <c r="F82" s="3">
        <v>20546935320</v>
      </c>
      <c r="G82" s="3" t="s">
        <v>133</v>
      </c>
      <c r="H82" s="3">
        <v>20546935320</v>
      </c>
      <c r="I82" s="4">
        <v>46013</v>
      </c>
      <c r="J82" s="7">
        <f t="shared" si="2"/>
        <v>58.567796610169495</v>
      </c>
      <c r="K82" s="7">
        <f t="shared" si="3"/>
        <v>10.542203389830508</v>
      </c>
      <c r="L82" s="8">
        <v>69.11</v>
      </c>
      <c r="M82" s="3" t="s">
        <v>19</v>
      </c>
      <c r="N82" s="3" t="s">
        <v>246</v>
      </c>
      <c r="O82" s="3"/>
      <c r="P82" s="3"/>
      <c r="Q82" s="3" t="s">
        <v>269</v>
      </c>
    </row>
    <row r="83" spans="1:17" s="5" customFormat="1" ht="10.050000000000001" customHeight="1" x14ac:dyDescent="0.2">
      <c r="A83" s="3">
        <v>76475600</v>
      </c>
      <c r="B83" s="3" t="s">
        <v>15</v>
      </c>
      <c r="C83" s="3" t="s">
        <v>53</v>
      </c>
      <c r="D83" s="3" t="s">
        <v>16</v>
      </c>
      <c r="E83" s="3" t="s">
        <v>17</v>
      </c>
      <c r="F83" s="3">
        <v>20551300600</v>
      </c>
      <c r="G83" s="3" t="s">
        <v>134</v>
      </c>
      <c r="H83" s="3">
        <v>20551300600</v>
      </c>
      <c r="I83" s="4">
        <v>46013</v>
      </c>
      <c r="J83" s="7">
        <f t="shared" si="2"/>
        <v>70.788135593220346</v>
      </c>
      <c r="K83" s="7">
        <f t="shared" si="3"/>
        <v>12.741864406779662</v>
      </c>
      <c r="L83" s="8">
        <v>83.53</v>
      </c>
      <c r="M83" s="3" t="s">
        <v>19</v>
      </c>
      <c r="N83" s="3">
        <v>202510</v>
      </c>
      <c r="O83" s="3"/>
      <c r="P83" s="3" t="s">
        <v>270</v>
      </c>
      <c r="Q83" s="3" t="s">
        <v>271</v>
      </c>
    </row>
    <row r="84" spans="1:17" s="5" customFormat="1" ht="10.050000000000001" customHeight="1" x14ac:dyDescent="0.2">
      <c r="A84" s="3">
        <v>76473963</v>
      </c>
      <c r="B84" s="3" t="s">
        <v>15</v>
      </c>
      <c r="C84" s="3" t="s">
        <v>53</v>
      </c>
      <c r="D84" s="3" t="s">
        <v>16</v>
      </c>
      <c r="E84" s="3" t="s">
        <v>17</v>
      </c>
      <c r="F84" s="3">
        <v>28820579</v>
      </c>
      <c r="G84" s="3" t="s">
        <v>135</v>
      </c>
      <c r="H84" s="3">
        <v>10288205791</v>
      </c>
      <c r="I84" s="4">
        <v>46013</v>
      </c>
      <c r="J84" s="7">
        <f t="shared" si="2"/>
        <v>129.66101694915255</v>
      </c>
      <c r="K84" s="7">
        <f t="shared" si="3"/>
        <v>23.33898305084746</v>
      </c>
      <c r="L84" s="8">
        <v>153</v>
      </c>
      <c r="M84" s="3" t="s">
        <v>19</v>
      </c>
      <c r="N84" s="3" t="s">
        <v>272</v>
      </c>
      <c r="O84" s="3"/>
      <c r="P84" s="3" t="s">
        <v>135</v>
      </c>
      <c r="Q84" s="3" t="s">
        <v>273</v>
      </c>
    </row>
    <row r="85" spans="1:17" s="5" customFormat="1" ht="10.050000000000001" customHeight="1" x14ac:dyDescent="0.2">
      <c r="A85" s="3">
        <v>76474021</v>
      </c>
      <c r="B85" s="3" t="s">
        <v>15</v>
      </c>
      <c r="C85" s="3" t="s">
        <v>53</v>
      </c>
      <c r="D85" s="3" t="s">
        <v>16</v>
      </c>
      <c r="E85" s="3" t="s">
        <v>17</v>
      </c>
      <c r="F85" s="3">
        <v>42034235</v>
      </c>
      <c r="G85" s="3" t="s">
        <v>136</v>
      </c>
      <c r="H85" s="3">
        <v>10420342352</v>
      </c>
      <c r="I85" s="4">
        <v>46013</v>
      </c>
      <c r="J85" s="7">
        <f t="shared" si="2"/>
        <v>58.279661016949149</v>
      </c>
      <c r="K85" s="7">
        <f t="shared" si="3"/>
        <v>10.490338983050846</v>
      </c>
      <c r="L85" s="8">
        <v>68.77</v>
      </c>
      <c r="M85" s="3" t="s">
        <v>19</v>
      </c>
      <c r="N85" s="3">
        <v>202510</v>
      </c>
      <c r="O85" s="3"/>
      <c r="P85" s="3" t="s">
        <v>274</v>
      </c>
      <c r="Q85" s="3" t="s">
        <v>275</v>
      </c>
    </row>
    <row r="86" spans="1:17" s="5" customFormat="1" ht="10.050000000000001" customHeight="1" x14ac:dyDescent="0.2">
      <c r="A86" s="3">
        <v>76475252</v>
      </c>
      <c r="B86" s="3" t="s">
        <v>15</v>
      </c>
      <c r="C86" s="3" t="s">
        <v>53</v>
      </c>
      <c r="D86" s="3" t="s">
        <v>16</v>
      </c>
      <c r="E86" s="3" t="s">
        <v>17</v>
      </c>
      <c r="F86" s="3">
        <v>20535020249</v>
      </c>
      <c r="G86" s="3" t="s">
        <v>137</v>
      </c>
      <c r="H86" s="3">
        <v>20535020249</v>
      </c>
      <c r="I86" s="4">
        <v>46010</v>
      </c>
      <c r="J86" s="7">
        <f t="shared" si="2"/>
        <v>344.91525423728814</v>
      </c>
      <c r="K86" s="7">
        <f t="shared" si="3"/>
        <v>62.084745762711862</v>
      </c>
      <c r="L86" s="8">
        <v>407</v>
      </c>
      <c r="M86" s="3" t="s">
        <v>19</v>
      </c>
      <c r="N86" s="3">
        <v>202510</v>
      </c>
      <c r="O86" s="3"/>
      <c r="P86" s="3" t="s">
        <v>276</v>
      </c>
      <c r="Q86" s="3" t="s">
        <v>277</v>
      </c>
    </row>
    <row r="87" spans="1:17" s="5" customFormat="1" ht="10.050000000000001" customHeight="1" x14ac:dyDescent="0.2">
      <c r="A87" s="3">
        <v>76476886</v>
      </c>
      <c r="B87" s="3" t="s">
        <v>48</v>
      </c>
      <c r="C87" s="3" t="s">
        <v>53</v>
      </c>
      <c r="D87" s="3" t="s">
        <v>16</v>
      </c>
      <c r="E87" s="3" t="s">
        <v>17</v>
      </c>
      <c r="F87" s="3">
        <v>20603030592</v>
      </c>
      <c r="G87" s="3" t="s">
        <v>138</v>
      </c>
      <c r="H87" s="3">
        <v>20603030592</v>
      </c>
      <c r="I87" s="4">
        <v>46013</v>
      </c>
      <c r="J87" s="7">
        <f t="shared" si="2"/>
        <v>106.53389830508475</v>
      </c>
      <c r="K87" s="7">
        <f t="shared" si="3"/>
        <v>19.176101694915253</v>
      </c>
      <c r="L87" s="8">
        <v>125.71</v>
      </c>
      <c r="M87" s="3" t="s">
        <v>19</v>
      </c>
      <c r="N87" s="3">
        <v>202510</v>
      </c>
      <c r="O87" s="3"/>
      <c r="P87" s="3"/>
      <c r="Q87" s="3" t="s">
        <v>278</v>
      </c>
    </row>
    <row r="88" spans="1:17" s="5" customFormat="1" ht="10.050000000000001" customHeight="1" x14ac:dyDescent="0.2">
      <c r="A88" s="3">
        <v>76477724</v>
      </c>
      <c r="B88" s="3" t="s">
        <v>15</v>
      </c>
      <c r="C88" s="3" t="s">
        <v>53</v>
      </c>
      <c r="D88" s="3" t="s">
        <v>16</v>
      </c>
      <c r="E88" s="3" t="s">
        <v>17</v>
      </c>
      <c r="F88" s="3">
        <v>20606561891</v>
      </c>
      <c r="G88" s="3" t="s">
        <v>139</v>
      </c>
      <c r="H88" s="3">
        <v>20606561891</v>
      </c>
      <c r="I88" s="4">
        <v>46014</v>
      </c>
      <c r="J88" s="7">
        <f t="shared" si="2"/>
        <v>56.779661016949156</v>
      </c>
      <c r="K88" s="7">
        <f t="shared" si="3"/>
        <v>10.220338983050848</v>
      </c>
      <c r="L88" s="8">
        <v>67</v>
      </c>
      <c r="M88" s="3" t="s">
        <v>19</v>
      </c>
      <c r="N88" s="3">
        <v>202510</v>
      </c>
      <c r="O88" s="3"/>
      <c r="P88" s="3" t="s">
        <v>279</v>
      </c>
      <c r="Q88" s="3" t="s">
        <v>280</v>
      </c>
    </row>
    <row r="89" spans="1:17" s="5" customFormat="1" ht="10.050000000000001" customHeight="1" x14ac:dyDescent="0.2">
      <c r="A89" s="3">
        <v>76487371</v>
      </c>
      <c r="B89" s="3" t="s">
        <v>24</v>
      </c>
      <c r="C89" s="3" t="s">
        <v>53</v>
      </c>
      <c r="D89" s="3" t="s">
        <v>81</v>
      </c>
      <c r="E89" s="3" t="s">
        <v>82</v>
      </c>
      <c r="F89" s="3">
        <v>5292332</v>
      </c>
      <c r="G89" s="3" t="s">
        <v>140</v>
      </c>
      <c r="H89" s="3">
        <v>10052923323</v>
      </c>
      <c r="I89" s="4">
        <v>46014</v>
      </c>
      <c r="J89" s="7">
        <f t="shared" si="2"/>
        <v>56.016949152542374</v>
      </c>
      <c r="K89" s="7">
        <f t="shared" si="3"/>
        <v>10.083050847457628</v>
      </c>
      <c r="L89" s="8">
        <v>66.099999999999994</v>
      </c>
      <c r="M89" s="3" t="s">
        <v>19</v>
      </c>
      <c r="N89" s="3" t="s">
        <v>281</v>
      </c>
      <c r="O89" s="3"/>
      <c r="P89" s="3"/>
      <c r="Q89" s="3"/>
    </row>
    <row r="90" spans="1:17" s="5" customFormat="1" ht="10.050000000000001" customHeight="1" x14ac:dyDescent="0.2">
      <c r="A90" s="3">
        <v>76475236</v>
      </c>
      <c r="B90" s="3" t="s">
        <v>89</v>
      </c>
      <c r="C90" s="3" t="s">
        <v>53</v>
      </c>
      <c r="D90" s="3" t="s">
        <v>16</v>
      </c>
      <c r="E90" s="3" t="s">
        <v>17</v>
      </c>
      <c r="F90" s="3">
        <v>20533805061</v>
      </c>
      <c r="G90" s="3" t="s">
        <v>141</v>
      </c>
      <c r="H90" s="3">
        <v>20533805061</v>
      </c>
      <c r="I90" s="4">
        <v>46015</v>
      </c>
      <c r="J90" s="7">
        <f t="shared" si="2"/>
        <v>56.016949152542374</v>
      </c>
      <c r="K90" s="7">
        <f t="shared" si="3"/>
        <v>10.083050847457628</v>
      </c>
      <c r="L90" s="8">
        <v>66.099999999999994</v>
      </c>
      <c r="M90" s="3" t="s">
        <v>19</v>
      </c>
      <c r="N90" s="3" t="s">
        <v>189</v>
      </c>
      <c r="O90" s="3"/>
      <c r="P90" s="3"/>
      <c r="Q90" s="3"/>
    </row>
    <row r="91" spans="1:17" s="5" customFormat="1" ht="10.050000000000001" customHeight="1" x14ac:dyDescent="0.2">
      <c r="A91" s="3">
        <v>76476639</v>
      </c>
      <c r="B91" s="3" t="s">
        <v>15</v>
      </c>
      <c r="C91" s="3" t="s">
        <v>53</v>
      </c>
      <c r="D91" s="3" t="s">
        <v>16</v>
      </c>
      <c r="E91" s="3" t="s">
        <v>17</v>
      </c>
      <c r="F91" s="3">
        <v>20602174353</v>
      </c>
      <c r="G91" s="3" t="s">
        <v>142</v>
      </c>
      <c r="H91" s="3">
        <v>20602174353</v>
      </c>
      <c r="I91" s="4">
        <v>46017</v>
      </c>
      <c r="J91" s="7">
        <f t="shared" si="2"/>
        <v>62.711864406779661</v>
      </c>
      <c r="K91" s="7">
        <f t="shared" si="3"/>
        <v>11.288135593220339</v>
      </c>
      <c r="L91" s="8">
        <v>74</v>
      </c>
      <c r="M91" s="3" t="s">
        <v>19</v>
      </c>
      <c r="N91" s="3" t="s">
        <v>189</v>
      </c>
      <c r="O91" s="3"/>
      <c r="P91" s="3" t="s">
        <v>282</v>
      </c>
      <c r="Q91" s="3"/>
    </row>
    <row r="92" spans="1:17" s="5" customFormat="1" ht="10.050000000000001" customHeight="1" x14ac:dyDescent="0.2">
      <c r="A92" s="3">
        <v>76479451</v>
      </c>
      <c r="B92" s="3" t="s">
        <v>48</v>
      </c>
      <c r="C92" s="3" t="s">
        <v>53</v>
      </c>
      <c r="D92" s="3" t="s">
        <v>16</v>
      </c>
      <c r="E92" s="3" t="s">
        <v>17</v>
      </c>
      <c r="F92" s="3">
        <v>20614103320</v>
      </c>
      <c r="G92" s="3" t="s">
        <v>143</v>
      </c>
      <c r="H92" s="3">
        <v>20614103320</v>
      </c>
      <c r="I92" s="4">
        <v>46017</v>
      </c>
      <c r="J92" s="7">
        <f t="shared" si="2"/>
        <v>229.31355932203388</v>
      </c>
      <c r="K92" s="7">
        <f t="shared" si="3"/>
        <v>41.2764406779661</v>
      </c>
      <c r="L92" s="8">
        <v>270.58999999999997</v>
      </c>
      <c r="M92" s="3" t="s">
        <v>19</v>
      </c>
      <c r="N92" s="3" t="s">
        <v>189</v>
      </c>
      <c r="O92" s="3"/>
      <c r="P92" s="3" t="s">
        <v>283</v>
      </c>
      <c r="Q92" s="3"/>
    </row>
    <row r="93" spans="1:17" s="5" customFormat="1" ht="10.050000000000001" customHeight="1" x14ac:dyDescent="0.2">
      <c r="A93" s="3">
        <v>76475844</v>
      </c>
      <c r="B93" s="3" t="s">
        <v>15</v>
      </c>
      <c r="C93" s="3" t="s">
        <v>53</v>
      </c>
      <c r="D93" s="3" t="s">
        <v>16</v>
      </c>
      <c r="E93" s="3" t="s">
        <v>17</v>
      </c>
      <c r="F93" s="3">
        <v>20560145358</v>
      </c>
      <c r="G93" s="3" t="s">
        <v>144</v>
      </c>
      <c r="H93" s="3">
        <v>20560145358</v>
      </c>
      <c r="I93" s="4">
        <v>46017</v>
      </c>
      <c r="J93" s="7">
        <f t="shared" si="2"/>
        <v>80.508474576271198</v>
      </c>
      <c r="K93" s="7">
        <f t="shared" si="3"/>
        <v>14.491525423728815</v>
      </c>
      <c r="L93" s="8">
        <v>95</v>
      </c>
      <c r="M93" s="3" t="s">
        <v>19</v>
      </c>
      <c r="N93" s="3">
        <v>202510</v>
      </c>
      <c r="O93" s="3"/>
      <c r="P93" s="3" t="s">
        <v>284</v>
      </c>
      <c r="Q93" s="3"/>
    </row>
    <row r="94" spans="1:17" s="5" customFormat="1" ht="10.050000000000001" customHeight="1" x14ac:dyDescent="0.2">
      <c r="A94" s="3">
        <v>76479247</v>
      </c>
      <c r="B94" s="3" t="s">
        <v>48</v>
      </c>
      <c r="C94" s="3" t="s">
        <v>53</v>
      </c>
      <c r="D94" s="3" t="s">
        <v>16</v>
      </c>
      <c r="E94" s="3" t="s">
        <v>17</v>
      </c>
      <c r="F94" s="3">
        <v>20613161032</v>
      </c>
      <c r="G94" s="3" t="s">
        <v>145</v>
      </c>
      <c r="H94" s="3">
        <v>20613161032</v>
      </c>
      <c r="I94" s="4">
        <v>46017</v>
      </c>
      <c r="J94" s="7">
        <f t="shared" si="2"/>
        <v>146.60169491525426</v>
      </c>
      <c r="K94" s="7">
        <f t="shared" si="3"/>
        <v>26.388305084745767</v>
      </c>
      <c r="L94" s="8">
        <v>172.99</v>
      </c>
      <c r="M94" s="3" t="s">
        <v>19</v>
      </c>
      <c r="N94" s="3" t="s">
        <v>285</v>
      </c>
      <c r="O94" s="3"/>
      <c r="P94" s="3" t="s">
        <v>286</v>
      </c>
      <c r="Q94" s="3"/>
    </row>
    <row r="95" spans="1:17" s="5" customFormat="1" ht="10.050000000000001" customHeight="1" x14ac:dyDescent="0.2">
      <c r="A95" s="3">
        <v>76477192</v>
      </c>
      <c r="B95" s="3" t="s">
        <v>48</v>
      </c>
      <c r="C95" s="3" t="s">
        <v>53</v>
      </c>
      <c r="D95" s="3" t="s">
        <v>16</v>
      </c>
      <c r="E95" s="3" t="s">
        <v>17</v>
      </c>
      <c r="F95" s="3">
        <v>20604267197</v>
      </c>
      <c r="G95" s="3" t="s">
        <v>146</v>
      </c>
      <c r="H95" s="3">
        <v>20604267197</v>
      </c>
      <c r="I95" s="4">
        <v>46017</v>
      </c>
      <c r="J95" s="7">
        <f t="shared" si="2"/>
        <v>56.016949152542374</v>
      </c>
      <c r="K95" s="7">
        <f t="shared" si="3"/>
        <v>10.083050847457628</v>
      </c>
      <c r="L95" s="8">
        <v>66.099999999999994</v>
      </c>
      <c r="M95" s="3" t="s">
        <v>19</v>
      </c>
      <c r="N95" s="3">
        <v>202510</v>
      </c>
      <c r="O95" s="3"/>
      <c r="P95" s="3"/>
      <c r="Q95" s="3"/>
    </row>
    <row r="96" spans="1:17" s="5" customFormat="1" ht="10.050000000000001" customHeight="1" x14ac:dyDescent="0.2">
      <c r="A96" s="3">
        <v>76474342</v>
      </c>
      <c r="B96" s="3" t="s">
        <v>24</v>
      </c>
      <c r="C96" s="3" t="s">
        <v>53</v>
      </c>
      <c r="D96" s="3" t="s">
        <v>16</v>
      </c>
      <c r="E96" s="3" t="s">
        <v>17</v>
      </c>
      <c r="F96" s="3">
        <v>20397739709</v>
      </c>
      <c r="G96" s="3" t="s">
        <v>147</v>
      </c>
      <c r="H96" s="3">
        <v>20397739709</v>
      </c>
      <c r="I96" s="4">
        <v>46010</v>
      </c>
      <c r="J96" s="7">
        <f t="shared" si="2"/>
        <v>56.016949152542374</v>
      </c>
      <c r="K96" s="7">
        <f t="shared" si="3"/>
        <v>10.083050847457628</v>
      </c>
      <c r="L96" s="8">
        <v>66.099999999999994</v>
      </c>
      <c r="M96" s="3" t="s">
        <v>19</v>
      </c>
      <c r="N96" s="3">
        <v>202510</v>
      </c>
      <c r="O96" s="3"/>
      <c r="P96" s="3"/>
      <c r="Q96" s="3"/>
    </row>
    <row r="97" spans="1:17" s="5" customFormat="1" ht="10.050000000000001" customHeight="1" x14ac:dyDescent="0.2">
      <c r="A97" s="3">
        <v>76476314</v>
      </c>
      <c r="B97" s="3" t="s">
        <v>15</v>
      </c>
      <c r="C97" s="3" t="s">
        <v>53</v>
      </c>
      <c r="D97" s="3" t="s">
        <v>16</v>
      </c>
      <c r="E97" s="3" t="s">
        <v>17</v>
      </c>
      <c r="F97" s="3">
        <v>20601219302</v>
      </c>
      <c r="G97" s="3" t="s">
        <v>148</v>
      </c>
      <c r="H97" s="3">
        <v>20601219302</v>
      </c>
      <c r="I97" s="4">
        <v>46017</v>
      </c>
      <c r="J97" s="7">
        <f t="shared" si="2"/>
        <v>385.59322033898309</v>
      </c>
      <c r="K97" s="7">
        <f t="shared" si="3"/>
        <v>69.406779661016955</v>
      </c>
      <c r="L97" s="8">
        <v>455</v>
      </c>
      <c r="M97" s="3" t="s">
        <v>18</v>
      </c>
      <c r="N97" s="3" t="s">
        <v>26</v>
      </c>
      <c r="O97" s="3">
        <v>202510</v>
      </c>
      <c r="P97" s="3" t="s">
        <v>287</v>
      </c>
      <c r="Q97" s="3"/>
    </row>
    <row r="98" spans="1:17" s="5" customFormat="1" ht="10.050000000000001" customHeight="1" x14ac:dyDescent="0.2">
      <c r="A98" s="3">
        <v>76474139</v>
      </c>
      <c r="B98" s="3" t="s">
        <v>15</v>
      </c>
      <c r="C98" s="3" t="s">
        <v>53</v>
      </c>
      <c r="D98" s="3" t="s">
        <v>16</v>
      </c>
      <c r="E98" s="3" t="s">
        <v>17</v>
      </c>
      <c r="F98" s="3">
        <v>70342138</v>
      </c>
      <c r="G98" s="3" t="s">
        <v>149</v>
      </c>
      <c r="H98" s="3">
        <v>10703421381</v>
      </c>
      <c r="I98" s="4">
        <v>46017</v>
      </c>
      <c r="J98" s="7">
        <f t="shared" si="2"/>
        <v>56.016949152542374</v>
      </c>
      <c r="K98" s="7">
        <f t="shared" si="3"/>
        <v>10.083050847457628</v>
      </c>
      <c r="L98" s="8">
        <v>66.099999999999994</v>
      </c>
      <c r="M98" s="3" t="s">
        <v>19</v>
      </c>
      <c r="N98" s="3" t="s">
        <v>189</v>
      </c>
      <c r="O98" s="3"/>
      <c r="P98" s="3" t="s">
        <v>288</v>
      </c>
      <c r="Q98" s="3"/>
    </row>
    <row r="99" spans="1:17" s="5" customFormat="1" ht="10.050000000000001" customHeight="1" x14ac:dyDescent="0.2">
      <c r="A99" s="3">
        <v>76479339</v>
      </c>
      <c r="B99" s="3" t="s">
        <v>48</v>
      </c>
      <c r="C99" s="3" t="s">
        <v>53</v>
      </c>
      <c r="D99" s="3" t="s">
        <v>16</v>
      </c>
      <c r="E99" s="3" t="s">
        <v>17</v>
      </c>
      <c r="F99" s="3">
        <v>20613518186</v>
      </c>
      <c r="G99" s="3" t="s">
        <v>150</v>
      </c>
      <c r="H99" s="3">
        <v>20613518186</v>
      </c>
      <c r="I99" s="4">
        <v>46020</v>
      </c>
      <c r="J99" s="7">
        <f t="shared" si="2"/>
        <v>56.016949152542374</v>
      </c>
      <c r="K99" s="7">
        <f t="shared" si="3"/>
        <v>10.083050847457628</v>
      </c>
      <c r="L99" s="8">
        <v>66.099999999999994</v>
      </c>
      <c r="M99" s="3" t="s">
        <v>19</v>
      </c>
      <c r="N99" s="3">
        <v>202510</v>
      </c>
      <c r="O99" s="3"/>
      <c r="P99" s="3" t="s">
        <v>289</v>
      </c>
      <c r="Q99" s="3"/>
    </row>
    <row r="100" spans="1:17" s="5" customFormat="1" ht="10.050000000000001" customHeight="1" x14ac:dyDescent="0.2">
      <c r="A100" s="3">
        <v>76503948</v>
      </c>
      <c r="B100" s="3" t="s">
        <v>151</v>
      </c>
      <c r="C100" s="3" t="s">
        <v>53</v>
      </c>
      <c r="D100" s="3" t="s">
        <v>90</v>
      </c>
      <c r="E100" s="3" t="s">
        <v>91</v>
      </c>
      <c r="F100" s="3">
        <v>20601471664</v>
      </c>
      <c r="G100" s="3" t="s">
        <v>152</v>
      </c>
      <c r="H100" s="3">
        <v>20601471664</v>
      </c>
      <c r="I100" s="4">
        <v>46017</v>
      </c>
      <c r="J100" s="7">
        <f t="shared" si="2"/>
        <v>60.254237288135592</v>
      </c>
      <c r="K100" s="7">
        <f t="shared" si="3"/>
        <v>10.845762711864406</v>
      </c>
      <c r="L100" s="8">
        <v>71.099999999999994</v>
      </c>
      <c r="M100" s="3" t="s">
        <v>19</v>
      </c>
      <c r="N100" s="3">
        <v>202510</v>
      </c>
      <c r="O100" s="3"/>
      <c r="P100" s="3"/>
      <c r="Q100" s="3"/>
    </row>
    <row r="101" spans="1:17" s="5" customFormat="1" ht="10.050000000000001" customHeight="1" x14ac:dyDescent="0.2">
      <c r="A101" s="3">
        <v>76476766</v>
      </c>
      <c r="B101" s="3" t="s">
        <v>15</v>
      </c>
      <c r="C101" s="3" t="s">
        <v>53</v>
      </c>
      <c r="D101" s="3" t="s">
        <v>16</v>
      </c>
      <c r="E101" s="3" t="s">
        <v>17</v>
      </c>
      <c r="F101" s="3">
        <v>20602619517</v>
      </c>
      <c r="G101" s="3" t="s">
        <v>153</v>
      </c>
      <c r="H101" s="3">
        <v>20602619517</v>
      </c>
      <c r="I101" s="4">
        <v>46019</v>
      </c>
      <c r="J101" s="7">
        <f t="shared" si="2"/>
        <v>56.016949152542374</v>
      </c>
      <c r="K101" s="7">
        <f t="shared" si="3"/>
        <v>10.083050847457628</v>
      </c>
      <c r="L101" s="8">
        <v>66.099999999999994</v>
      </c>
      <c r="M101" s="3" t="s">
        <v>18</v>
      </c>
      <c r="N101" s="3" t="s">
        <v>290</v>
      </c>
      <c r="O101" s="3" t="s">
        <v>189</v>
      </c>
      <c r="P101" s="3"/>
      <c r="Q101" s="3"/>
    </row>
    <row r="102" spans="1:17" s="5" customFormat="1" ht="10.050000000000001" customHeight="1" x14ac:dyDescent="0.2">
      <c r="A102" s="3">
        <v>76495923</v>
      </c>
      <c r="B102" s="3" t="s">
        <v>24</v>
      </c>
      <c r="C102" s="3" t="s">
        <v>53</v>
      </c>
      <c r="D102" s="3" t="s">
        <v>90</v>
      </c>
      <c r="E102" s="3" t="s">
        <v>91</v>
      </c>
      <c r="F102" s="3">
        <v>20455191557</v>
      </c>
      <c r="G102" s="3" t="s">
        <v>154</v>
      </c>
      <c r="H102" s="3">
        <v>20455191557</v>
      </c>
      <c r="I102" s="4">
        <v>46017</v>
      </c>
      <c r="J102" s="7">
        <f t="shared" si="2"/>
        <v>56.016949152542374</v>
      </c>
      <c r="K102" s="7">
        <f t="shared" si="3"/>
        <v>10.083050847457628</v>
      </c>
      <c r="L102" s="8">
        <v>66.099999999999994</v>
      </c>
      <c r="M102" s="3" t="s">
        <v>19</v>
      </c>
      <c r="N102" s="3">
        <v>202510</v>
      </c>
      <c r="O102" s="3"/>
      <c r="P102" s="3" t="s">
        <v>291</v>
      </c>
      <c r="Q102" s="3"/>
    </row>
    <row r="103" spans="1:17" s="5" customFormat="1" ht="10.050000000000001" customHeight="1" x14ac:dyDescent="0.2">
      <c r="A103" s="3">
        <v>76477617</v>
      </c>
      <c r="B103" s="3" t="s">
        <v>89</v>
      </c>
      <c r="C103" s="3" t="s">
        <v>53</v>
      </c>
      <c r="D103" s="3" t="s">
        <v>16</v>
      </c>
      <c r="E103" s="3" t="s">
        <v>17</v>
      </c>
      <c r="F103" s="3">
        <v>20606177632</v>
      </c>
      <c r="G103" s="3" t="s">
        <v>155</v>
      </c>
      <c r="H103" s="3">
        <v>20606177632</v>
      </c>
      <c r="I103" s="4">
        <v>46015</v>
      </c>
      <c r="J103" s="7">
        <f t="shared" si="2"/>
        <v>56.016949152542374</v>
      </c>
      <c r="K103" s="7">
        <f t="shared" si="3"/>
        <v>10.083050847457628</v>
      </c>
      <c r="L103" s="8">
        <v>66.099999999999994</v>
      </c>
      <c r="M103" s="3" t="s">
        <v>19</v>
      </c>
      <c r="N103" s="3">
        <v>202510</v>
      </c>
      <c r="O103" s="3"/>
      <c r="P103" s="3"/>
      <c r="Q103" s="3"/>
    </row>
    <row r="104" spans="1:17" s="5" customFormat="1" ht="10.050000000000001" customHeight="1" x14ac:dyDescent="0.2">
      <c r="A104" s="3">
        <v>76476778</v>
      </c>
      <c r="B104" s="3" t="s">
        <v>48</v>
      </c>
      <c r="C104" s="3" t="s">
        <v>53</v>
      </c>
      <c r="D104" s="3" t="s">
        <v>16</v>
      </c>
      <c r="E104" s="3" t="s">
        <v>17</v>
      </c>
      <c r="F104" s="3">
        <v>20602669620</v>
      </c>
      <c r="G104" s="3" t="s">
        <v>156</v>
      </c>
      <c r="H104" s="3">
        <v>20602669620</v>
      </c>
      <c r="I104" s="4">
        <v>46014</v>
      </c>
      <c r="J104" s="7">
        <f t="shared" si="2"/>
        <v>207.38135593220341</v>
      </c>
      <c r="K104" s="7">
        <f t="shared" si="3"/>
        <v>37.32864406779661</v>
      </c>
      <c r="L104" s="8">
        <v>244.71</v>
      </c>
      <c r="M104" s="3" t="s">
        <v>19</v>
      </c>
      <c r="N104" s="3">
        <v>202510</v>
      </c>
      <c r="O104" s="3"/>
      <c r="P104" s="3"/>
      <c r="Q104" s="3"/>
    </row>
    <row r="105" spans="1:17" s="5" customFormat="1" ht="10.050000000000001" customHeight="1" x14ac:dyDescent="0.2">
      <c r="A105" s="3">
        <v>76478102</v>
      </c>
      <c r="B105" s="3" t="s">
        <v>15</v>
      </c>
      <c r="C105" s="3" t="s">
        <v>53</v>
      </c>
      <c r="D105" s="3" t="s">
        <v>16</v>
      </c>
      <c r="E105" s="3" t="s">
        <v>17</v>
      </c>
      <c r="F105" s="3">
        <v>20608440403</v>
      </c>
      <c r="G105" s="3" t="s">
        <v>157</v>
      </c>
      <c r="H105" s="3">
        <v>20608440403</v>
      </c>
      <c r="I105" s="4">
        <v>46009</v>
      </c>
      <c r="J105" s="7">
        <f t="shared" si="2"/>
        <v>55.932203389830512</v>
      </c>
      <c r="K105" s="7">
        <f t="shared" si="3"/>
        <v>10.067796610169491</v>
      </c>
      <c r="L105" s="8">
        <v>66</v>
      </c>
      <c r="M105" s="3" t="s">
        <v>19</v>
      </c>
      <c r="N105" s="3">
        <v>202510</v>
      </c>
      <c r="O105" s="3"/>
      <c r="P105" s="3" t="s">
        <v>292</v>
      </c>
      <c r="Q105" s="3"/>
    </row>
    <row r="106" spans="1:17" s="5" customFormat="1" ht="10.050000000000001" customHeight="1" x14ac:dyDescent="0.2">
      <c r="A106" s="3"/>
      <c r="B106" s="3"/>
      <c r="C106" s="3"/>
      <c r="D106" s="3"/>
      <c r="E106" s="3"/>
      <c r="F106" s="3"/>
      <c r="G106" s="3"/>
      <c r="H106" s="3"/>
      <c r="I106" s="4"/>
      <c r="J106" s="7">
        <f t="shared" si="2"/>
        <v>0</v>
      </c>
      <c r="K106" s="7">
        <f t="shared" si="3"/>
        <v>0</v>
      </c>
      <c r="L106" s="8"/>
      <c r="M106" s="3"/>
      <c r="N106" s="3"/>
      <c r="O106" s="3"/>
      <c r="P106" s="3"/>
      <c r="Q106" s="3"/>
    </row>
    <row r="107" spans="1:17" s="5" customFormat="1" ht="10.050000000000001" customHeight="1" x14ac:dyDescent="0.2">
      <c r="A107" s="3"/>
      <c r="B107" s="3"/>
      <c r="C107" s="3"/>
      <c r="D107" s="3"/>
      <c r="E107" s="3"/>
      <c r="F107" s="3"/>
      <c r="G107" s="3"/>
      <c r="H107" s="3"/>
      <c r="I107" s="4"/>
      <c r="J107" s="7">
        <f t="shared" si="2"/>
        <v>0</v>
      </c>
      <c r="K107" s="7">
        <f t="shared" si="3"/>
        <v>0</v>
      </c>
      <c r="L107" s="8"/>
      <c r="M107" s="3"/>
      <c r="N107" s="3"/>
      <c r="O107" s="3"/>
      <c r="P107" s="3"/>
      <c r="Q107" s="3"/>
    </row>
    <row r="108" spans="1:17" s="5" customFormat="1" ht="10.050000000000001" customHeight="1" x14ac:dyDescent="0.2">
      <c r="A108" s="3"/>
      <c r="B108" s="3"/>
      <c r="C108" s="3"/>
      <c r="D108" s="3"/>
      <c r="E108" s="3"/>
      <c r="F108" s="3"/>
      <c r="G108" s="3"/>
      <c r="H108" s="3"/>
      <c r="I108" s="4"/>
      <c r="J108" s="7">
        <f t="shared" si="2"/>
        <v>0</v>
      </c>
      <c r="K108" s="7">
        <f t="shared" si="3"/>
        <v>0</v>
      </c>
      <c r="L108" s="8"/>
      <c r="M108" s="3"/>
      <c r="N108" s="3"/>
      <c r="O108" s="3"/>
      <c r="P108" s="3"/>
      <c r="Q108" s="3"/>
    </row>
    <row r="109" spans="1:17" s="5" customFormat="1" ht="10.050000000000001" customHeight="1" x14ac:dyDescent="0.2">
      <c r="A109" s="3"/>
      <c r="B109" s="3"/>
      <c r="C109" s="3"/>
      <c r="D109" s="3"/>
      <c r="E109" s="3"/>
      <c r="F109" s="3"/>
      <c r="G109" s="3"/>
      <c r="H109" s="3"/>
      <c r="I109" s="4"/>
      <c r="J109" s="7">
        <f t="shared" si="2"/>
        <v>0</v>
      </c>
      <c r="K109" s="7">
        <f t="shared" si="3"/>
        <v>0</v>
      </c>
      <c r="L109" s="8"/>
      <c r="M109" s="3"/>
      <c r="N109" s="3"/>
      <c r="O109" s="3"/>
      <c r="P109" s="3"/>
      <c r="Q109" s="3"/>
    </row>
    <row r="110" spans="1:17" s="5" customFormat="1" ht="10.050000000000001" customHeight="1" x14ac:dyDescent="0.2">
      <c r="A110" s="3"/>
      <c r="B110" s="3"/>
      <c r="C110" s="3"/>
      <c r="D110" s="3"/>
      <c r="E110" s="3"/>
      <c r="F110" s="3"/>
      <c r="G110" s="3"/>
      <c r="H110" s="3"/>
      <c r="I110" s="4"/>
      <c r="J110" s="7">
        <f t="shared" si="2"/>
        <v>0</v>
      </c>
      <c r="K110" s="7">
        <f t="shared" si="3"/>
        <v>0</v>
      </c>
      <c r="L110" s="8"/>
      <c r="M110" s="3"/>
      <c r="N110" s="3"/>
      <c r="O110" s="3"/>
      <c r="P110" s="3"/>
      <c r="Q110" s="3"/>
    </row>
    <row r="111" spans="1:17" s="5" customFormat="1" ht="10.050000000000001" customHeight="1" x14ac:dyDescent="0.2">
      <c r="A111" s="3"/>
      <c r="B111" s="3"/>
      <c r="C111" s="3"/>
      <c r="D111" s="3"/>
      <c r="E111" s="3"/>
      <c r="F111" s="3"/>
      <c r="G111" s="3"/>
      <c r="H111" s="3"/>
      <c r="I111" s="4"/>
      <c r="J111" s="7">
        <f t="shared" si="2"/>
        <v>0</v>
      </c>
      <c r="K111" s="7">
        <f t="shared" si="3"/>
        <v>0</v>
      </c>
      <c r="L111" s="8"/>
      <c r="M111" s="3"/>
      <c r="N111" s="3"/>
      <c r="O111" s="3"/>
      <c r="P111" s="3"/>
      <c r="Q111" s="3"/>
    </row>
    <row r="112" spans="1:17" s="5" customFormat="1" ht="10.050000000000001" customHeight="1" x14ac:dyDescent="0.2">
      <c r="A112" s="3"/>
      <c r="B112" s="3"/>
      <c r="C112" s="3"/>
      <c r="D112" s="3"/>
      <c r="E112" s="3"/>
      <c r="F112" s="3"/>
      <c r="G112" s="3"/>
      <c r="H112" s="3"/>
      <c r="I112" s="4"/>
      <c r="J112" s="7">
        <f t="shared" si="2"/>
        <v>0</v>
      </c>
      <c r="K112" s="7">
        <f t="shared" si="3"/>
        <v>0</v>
      </c>
      <c r="L112" s="8"/>
      <c r="M112" s="3"/>
      <c r="N112" s="3"/>
      <c r="O112" s="3"/>
      <c r="P112" s="3"/>
      <c r="Q112" s="3"/>
    </row>
    <row r="113" spans="1:17" s="5" customFormat="1" ht="10.050000000000001" customHeight="1" x14ac:dyDescent="0.2">
      <c r="A113" s="3"/>
      <c r="B113" s="3"/>
      <c r="C113" s="3"/>
      <c r="D113" s="3"/>
      <c r="E113" s="3"/>
      <c r="F113" s="3"/>
      <c r="G113" s="3"/>
      <c r="H113" s="3"/>
      <c r="I113" s="4"/>
      <c r="J113" s="7">
        <f t="shared" si="2"/>
        <v>0</v>
      </c>
      <c r="K113" s="7">
        <f t="shared" si="3"/>
        <v>0</v>
      </c>
      <c r="L113" s="8"/>
      <c r="M113" s="3"/>
      <c r="N113" s="3"/>
      <c r="O113" s="3"/>
      <c r="P113" s="3"/>
      <c r="Q113" s="3"/>
    </row>
    <row r="114" spans="1:17" s="5" customFormat="1" ht="10.050000000000001" customHeight="1" x14ac:dyDescent="0.2">
      <c r="A114" s="3"/>
      <c r="B114" s="3"/>
      <c r="C114" s="3"/>
      <c r="D114" s="3"/>
      <c r="E114" s="3"/>
      <c r="F114" s="3"/>
      <c r="G114" s="3"/>
      <c r="H114" s="3"/>
      <c r="I114" s="4"/>
      <c r="J114" s="7">
        <f t="shared" si="2"/>
        <v>0</v>
      </c>
      <c r="K114" s="7">
        <f t="shared" si="3"/>
        <v>0</v>
      </c>
      <c r="L114" s="8"/>
      <c r="M114" s="3"/>
      <c r="N114" s="3"/>
      <c r="O114" s="3"/>
      <c r="P114" s="3"/>
      <c r="Q114" s="3"/>
    </row>
    <row r="115" spans="1:17" s="5" customFormat="1" ht="10.050000000000001" customHeight="1" x14ac:dyDescent="0.2">
      <c r="A115" s="3"/>
      <c r="B115" s="3"/>
      <c r="C115" s="3"/>
      <c r="D115" s="3"/>
      <c r="E115" s="3"/>
      <c r="F115" s="3"/>
      <c r="G115" s="3"/>
      <c r="H115" s="3"/>
      <c r="I115" s="4"/>
      <c r="J115" s="7">
        <f t="shared" si="2"/>
        <v>0</v>
      </c>
      <c r="K115" s="7">
        <f t="shared" si="3"/>
        <v>0</v>
      </c>
      <c r="L115" s="8"/>
      <c r="M115" s="3"/>
      <c r="N115" s="3"/>
      <c r="O115" s="3"/>
      <c r="P115" s="3"/>
      <c r="Q115" s="3"/>
    </row>
    <row r="116" spans="1:17" s="5" customFormat="1" ht="10.050000000000001" customHeight="1" x14ac:dyDescent="0.2">
      <c r="A116" s="3"/>
      <c r="B116" s="3"/>
      <c r="C116" s="3"/>
      <c r="D116" s="3"/>
      <c r="E116" s="3"/>
      <c r="F116" s="3"/>
      <c r="G116" s="3"/>
      <c r="H116" s="3"/>
      <c r="I116" s="4"/>
      <c r="J116" s="7">
        <f t="shared" si="2"/>
        <v>0</v>
      </c>
      <c r="K116" s="7">
        <f t="shared" si="3"/>
        <v>0</v>
      </c>
      <c r="L116" s="8"/>
      <c r="M116" s="3"/>
      <c r="N116" s="3"/>
      <c r="O116" s="3"/>
      <c r="P116" s="3"/>
      <c r="Q116" s="3"/>
    </row>
    <row r="117" spans="1:17" s="5" customFormat="1" ht="10.050000000000001" customHeight="1" x14ac:dyDescent="0.2">
      <c r="A117" s="3"/>
      <c r="B117" s="3"/>
      <c r="C117" s="3"/>
      <c r="D117" s="3"/>
      <c r="E117" s="3"/>
      <c r="F117" s="3"/>
      <c r="G117" s="3"/>
      <c r="H117" s="3"/>
      <c r="I117" s="4"/>
      <c r="J117" s="7">
        <f t="shared" si="2"/>
        <v>0</v>
      </c>
      <c r="K117" s="7">
        <f t="shared" si="3"/>
        <v>0</v>
      </c>
      <c r="L117" s="8"/>
      <c r="M117" s="3"/>
      <c r="N117" s="3"/>
      <c r="O117" s="3"/>
      <c r="P117" s="3"/>
      <c r="Q117" s="3"/>
    </row>
    <row r="118" spans="1:17" s="5" customFormat="1" ht="10.050000000000001" customHeight="1" x14ac:dyDescent="0.2">
      <c r="A118" s="3"/>
      <c r="B118" s="3"/>
      <c r="C118" s="3"/>
      <c r="D118" s="3"/>
      <c r="E118" s="3"/>
      <c r="F118" s="3"/>
      <c r="G118" s="3"/>
      <c r="H118" s="3"/>
      <c r="I118" s="4"/>
      <c r="J118" s="7">
        <f t="shared" si="2"/>
        <v>0</v>
      </c>
      <c r="K118" s="7">
        <f t="shared" si="3"/>
        <v>0</v>
      </c>
      <c r="L118" s="8"/>
      <c r="M118" s="3"/>
      <c r="N118" s="3"/>
      <c r="O118" s="3"/>
      <c r="P118" s="3"/>
      <c r="Q118" s="3"/>
    </row>
    <row r="119" spans="1:17" s="5" customFormat="1" ht="10.050000000000001" customHeight="1" x14ac:dyDescent="0.2">
      <c r="A119" s="3"/>
      <c r="B119" s="3"/>
      <c r="C119" s="3"/>
      <c r="D119" s="3"/>
      <c r="E119" s="3"/>
      <c r="F119" s="3"/>
      <c r="G119" s="3"/>
      <c r="H119" s="3"/>
      <c r="I119" s="4"/>
      <c r="J119" s="7">
        <f t="shared" si="2"/>
        <v>0</v>
      </c>
      <c r="K119" s="7">
        <f t="shared" si="3"/>
        <v>0</v>
      </c>
      <c r="L119" s="8"/>
      <c r="M119" s="3"/>
      <c r="N119" s="3"/>
      <c r="O119" s="3"/>
      <c r="P119" s="3"/>
      <c r="Q119" s="3"/>
    </row>
    <row r="120" spans="1:17" s="5" customFormat="1" ht="10.050000000000001" customHeight="1" x14ac:dyDescent="0.2">
      <c r="A120" s="3"/>
      <c r="B120" s="3"/>
      <c r="C120" s="3"/>
      <c r="D120" s="3"/>
      <c r="E120" s="3"/>
      <c r="F120" s="3"/>
      <c r="G120" s="3"/>
      <c r="H120" s="3"/>
      <c r="I120" s="4"/>
      <c r="J120" s="7">
        <f t="shared" si="2"/>
        <v>0</v>
      </c>
      <c r="K120" s="7">
        <f t="shared" si="3"/>
        <v>0</v>
      </c>
      <c r="L120" s="8"/>
      <c r="M120" s="3"/>
      <c r="N120" s="3"/>
      <c r="O120" s="3"/>
      <c r="P120" s="3"/>
      <c r="Q120" s="3"/>
    </row>
    <row r="121" spans="1:17" s="5" customFormat="1" ht="10.050000000000001" customHeight="1" x14ac:dyDescent="0.2">
      <c r="A121" s="3"/>
      <c r="B121" s="3"/>
      <c r="C121" s="3"/>
      <c r="D121" s="3"/>
      <c r="E121" s="3"/>
      <c r="F121" s="3"/>
      <c r="G121" s="3"/>
      <c r="H121" s="3"/>
      <c r="I121" s="4"/>
      <c r="J121" s="7">
        <f t="shared" si="2"/>
        <v>0</v>
      </c>
      <c r="K121" s="7">
        <f t="shared" si="3"/>
        <v>0</v>
      </c>
      <c r="L121" s="8"/>
      <c r="M121" s="3"/>
      <c r="N121" s="3"/>
      <c r="O121" s="3"/>
      <c r="P121" s="3"/>
      <c r="Q121" s="3"/>
    </row>
    <row r="122" spans="1:17" s="5" customFormat="1" ht="10.050000000000001" customHeight="1" x14ac:dyDescent="0.2">
      <c r="A122" s="3"/>
      <c r="B122" s="3"/>
      <c r="C122" s="3"/>
      <c r="D122" s="3"/>
      <c r="E122" s="3"/>
      <c r="F122" s="3"/>
      <c r="G122" s="3"/>
      <c r="H122" s="3"/>
      <c r="I122" s="4"/>
      <c r="J122" s="7">
        <f t="shared" si="2"/>
        <v>0</v>
      </c>
      <c r="K122" s="7">
        <f t="shared" si="3"/>
        <v>0</v>
      </c>
      <c r="L122" s="8"/>
      <c r="M122" s="3"/>
      <c r="N122" s="3"/>
      <c r="O122" s="3"/>
      <c r="P122" s="3"/>
      <c r="Q122" s="3"/>
    </row>
    <row r="123" spans="1:17" s="5" customFormat="1" ht="10.050000000000001" customHeight="1" x14ac:dyDescent="0.2">
      <c r="A123" s="3"/>
      <c r="B123" s="3"/>
      <c r="C123" s="3"/>
      <c r="D123" s="3"/>
      <c r="E123" s="3"/>
      <c r="F123" s="3"/>
      <c r="G123" s="3"/>
      <c r="H123" s="3"/>
      <c r="I123" s="4"/>
      <c r="J123" s="7">
        <f t="shared" si="2"/>
        <v>0</v>
      </c>
      <c r="K123" s="7">
        <f t="shared" si="3"/>
        <v>0</v>
      </c>
      <c r="L123" s="8"/>
      <c r="M123" s="3"/>
      <c r="N123" s="3"/>
      <c r="O123" s="3"/>
      <c r="P123" s="3"/>
      <c r="Q123" s="3"/>
    </row>
    <row r="124" spans="1:17" s="5" customFormat="1" ht="10.050000000000001" customHeight="1" x14ac:dyDescent="0.2">
      <c r="A124" s="3"/>
      <c r="B124" s="3"/>
      <c r="C124" s="3"/>
      <c r="D124" s="3"/>
      <c r="E124" s="3"/>
      <c r="F124" s="3"/>
      <c r="G124" s="3"/>
      <c r="H124" s="3"/>
      <c r="I124" s="4"/>
      <c r="J124" s="7">
        <f t="shared" si="2"/>
        <v>0</v>
      </c>
      <c r="K124" s="7">
        <f t="shared" si="3"/>
        <v>0</v>
      </c>
      <c r="L124" s="8"/>
      <c r="M124" s="3"/>
      <c r="N124" s="3"/>
      <c r="O124" s="3"/>
      <c r="P124" s="3"/>
      <c r="Q124" s="3"/>
    </row>
    <row r="125" spans="1:17" s="5" customFormat="1" ht="10.050000000000001" customHeight="1" x14ac:dyDescent="0.2">
      <c r="A125" s="3"/>
      <c r="B125" s="3"/>
      <c r="C125" s="3"/>
      <c r="D125" s="3"/>
      <c r="E125" s="3"/>
      <c r="F125" s="3"/>
      <c r="G125" s="3"/>
      <c r="H125" s="3"/>
      <c r="I125" s="4"/>
      <c r="J125" s="7">
        <f t="shared" si="2"/>
        <v>0</v>
      </c>
      <c r="K125" s="7">
        <f t="shared" si="3"/>
        <v>0</v>
      </c>
      <c r="L125" s="8"/>
      <c r="M125" s="3"/>
      <c r="N125" s="3"/>
      <c r="O125" s="3"/>
      <c r="P125" s="3"/>
      <c r="Q125" s="3"/>
    </row>
    <row r="126" spans="1:17" s="5" customFormat="1" ht="10.050000000000001" customHeight="1" x14ac:dyDescent="0.2">
      <c r="A126" s="3"/>
      <c r="B126" s="3"/>
      <c r="C126" s="3"/>
      <c r="D126" s="3"/>
      <c r="E126" s="3"/>
      <c r="F126" s="3"/>
      <c r="G126" s="3"/>
      <c r="H126" s="3"/>
      <c r="I126" s="4"/>
      <c r="J126" s="7">
        <f t="shared" si="2"/>
        <v>0</v>
      </c>
      <c r="K126" s="7">
        <f t="shared" si="3"/>
        <v>0</v>
      </c>
      <c r="L126" s="8"/>
      <c r="M126" s="3"/>
      <c r="N126" s="3"/>
      <c r="O126" s="3"/>
      <c r="P126" s="3"/>
      <c r="Q126" s="3"/>
    </row>
    <row r="127" spans="1:17" s="5" customFormat="1" ht="10.050000000000001" customHeight="1" x14ac:dyDescent="0.2">
      <c r="A127" s="3"/>
      <c r="B127" s="3"/>
      <c r="C127" s="3"/>
      <c r="D127" s="3"/>
      <c r="E127" s="3"/>
      <c r="F127" s="3"/>
      <c r="G127" s="3"/>
      <c r="H127" s="3"/>
      <c r="I127" s="4"/>
      <c r="J127" s="7">
        <f t="shared" si="2"/>
        <v>0</v>
      </c>
      <c r="K127" s="7">
        <f t="shared" si="3"/>
        <v>0</v>
      </c>
      <c r="L127" s="8"/>
      <c r="M127" s="3"/>
      <c r="N127" s="3"/>
      <c r="O127" s="3"/>
      <c r="P127" s="3"/>
      <c r="Q127" s="3"/>
    </row>
    <row r="128" spans="1:17" s="5" customFormat="1" ht="10.050000000000001" customHeight="1" x14ac:dyDescent="0.2">
      <c r="A128" s="3"/>
      <c r="B128" s="3"/>
      <c r="C128" s="3"/>
      <c r="D128" s="3"/>
      <c r="E128" s="3"/>
      <c r="F128" s="3"/>
      <c r="G128" s="3"/>
      <c r="H128" s="3"/>
      <c r="I128" s="4"/>
      <c r="J128" s="7">
        <f t="shared" si="2"/>
        <v>0</v>
      </c>
      <c r="K128" s="7">
        <f t="shared" si="3"/>
        <v>0</v>
      </c>
      <c r="L128" s="8"/>
      <c r="M128" s="3"/>
      <c r="N128" s="3"/>
      <c r="O128" s="3"/>
      <c r="P128" s="3"/>
      <c r="Q128" s="3"/>
    </row>
    <row r="129" spans="1:17" s="5" customFormat="1" ht="10.050000000000001" customHeight="1" x14ac:dyDescent="0.2">
      <c r="A129" s="3"/>
      <c r="B129" s="3"/>
      <c r="C129" s="3"/>
      <c r="D129" s="3"/>
      <c r="E129" s="3"/>
      <c r="F129" s="3"/>
      <c r="G129" s="3"/>
      <c r="H129" s="3"/>
      <c r="I129" s="4"/>
      <c r="J129" s="7">
        <f t="shared" si="2"/>
        <v>0</v>
      </c>
      <c r="K129" s="7">
        <f t="shared" si="3"/>
        <v>0</v>
      </c>
      <c r="L129" s="8"/>
      <c r="M129" s="3"/>
      <c r="N129" s="3"/>
      <c r="O129" s="3"/>
      <c r="P129" s="3"/>
      <c r="Q129" s="3"/>
    </row>
    <row r="130" spans="1:17" s="5" customFormat="1" ht="10.050000000000001" customHeight="1" x14ac:dyDescent="0.2">
      <c r="A130" s="3"/>
      <c r="B130" s="3"/>
      <c r="C130" s="3"/>
      <c r="D130" s="3"/>
      <c r="E130" s="3"/>
      <c r="F130" s="3"/>
      <c r="G130" s="3"/>
      <c r="H130" s="3"/>
      <c r="I130" s="4"/>
      <c r="J130" s="7">
        <f t="shared" si="2"/>
        <v>0</v>
      </c>
      <c r="K130" s="7">
        <f t="shared" si="3"/>
        <v>0</v>
      </c>
      <c r="L130" s="8"/>
      <c r="M130" s="3"/>
      <c r="N130" s="3"/>
      <c r="O130" s="3"/>
      <c r="P130" s="3"/>
      <c r="Q130" s="3"/>
    </row>
    <row r="131" spans="1:17" s="5" customFormat="1" ht="10.050000000000001" customHeight="1" x14ac:dyDescent="0.2">
      <c r="A131" s="3"/>
      <c r="B131" s="3"/>
      <c r="C131" s="3"/>
      <c r="D131" s="3"/>
      <c r="E131" s="3"/>
      <c r="F131" s="3"/>
      <c r="G131" s="3"/>
      <c r="H131" s="3"/>
      <c r="I131" s="4"/>
      <c r="J131" s="7">
        <f t="shared" ref="J131:J135" si="4">+L131/1.18</f>
        <v>0</v>
      </c>
      <c r="K131" s="7">
        <f t="shared" ref="K131:K135" si="5">J131*0.18</f>
        <v>0</v>
      </c>
      <c r="L131" s="8"/>
      <c r="M131" s="3"/>
      <c r="N131" s="3"/>
      <c r="O131" s="3"/>
      <c r="P131" s="3"/>
      <c r="Q131" s="3"/>
    </row>
    <row r="132" spans="1:17" s="5" customFormat="1" ht="10.050000000000001" customHeight="1" x14ac:dyDescent="0.2">
      <c r="A132" s="3"/>
      <c r="B132" s="3"/>
      <c r="C132" s="3"/>
      <c r="D132" s="3"/>
      <c r="E132" s="3"/>
      <c r="F132" s="3"/>
      <c r="G132" s="3"/>
      <c r="H132" s="3"/>
      <c r="I132" s="4"/>
      <c r="J132" s="7">
        <f t="shared" si="4"/>
        <v>0</v>
      </c>
      <c r="K132" s="7">
        <f t="shared" si="5"/>
        <v>0</v>
      </c>
      <c r="L132" s="8"/>
      <c r="M132" s="3"/>
      <c r="N132" s="3"/>
      <c r="O132" s="3"/>
      <c r="P132" s="3"/>
      <c r="Q132" s="3"/>
    </row>
    <row r="133" spans="1:17" s="5" customFormat="1" ht="10.050000000000001" customHeight="1" x14ac:dyDescent="0.2">
      <c r="A133" s="3"/>
      <c r="B133" s="3"/>
      <c r="C133" s="3"/>
      <c r="D133" s="3"/>
      <c r="E133" s="3"/>
      <c r="F133" s="3"/>
      <c r="G133" s="3"/>
      <c r="H133" s="3"/>
      <c r="I133" s="4"/>
      <c r="J133" s="7">
        <f t="shared" si="4"/>
        <v>0</v>
      </c>
      <c r="K133" s="7">
        <f t="shared" si="5"/>
        <v>0</v>
      </c>
      <c r="L133" s="8"/>
      <c r="M133" s="3"/>
      <c r="N133" s="3"/>
      <c r="O133" s="3"/>
      <c r="P133" s="3"/>
      <c r="Q133" s="3"/>
    </row>
    <row r="134" spans="1:17" s="5" customFormat="1" ht="10.050000000000001" customHeight="1" x14ac:dyDescent="0.2">
      <c r="A134" s="3"/>
      <c r="B134" s="3"/>
      <c r="C134" s="3"/>
      <c r="D134" s="3"/>
      <c r="E134" s="3"/>
      <c r="F134" s="3"/>
      <c r="G134" s="3"/>
      <c r="H134" s="3"/>
      <c r="I134" s="4"/>
      <c r="J134" s="7">
        <f t="shared" si="4"/>
        <v>0</v>
      </c>
      <c r="K134" s="7">
        <f t="shared" si="5"/>
        <v>0</v>
      </c>
      <c r="L134" s="8"/>
      <c r="M134" s="3"/>
      <c r="N134" s="3"/>
      <c r="O134" s="3"/>
      <c r="P134" s="3"/>
      <c r="Q134" s="3"/>
    </row>
    <row r="135" spans="1:17" s="5" customFormat="1" ht="10.050000000000001" customHeight="1" x14ac:dyDescent="0.2">
      <c r="A135" s="3"/>
      <c r="B135" s="3"/>
      <c r="C135" s="3"/>
      <c r="D135" s="3"/>
      <c r="E135" s="3"/>
      <c r="F135" s="3"/>
      <c r="G135" s="3"/>
      <c r="H135" s="3"/>
      <c r="I135" s="4"/>
      <c r="J135" s="7">
        <f t="shared" si="4"/>
        <v>0</v>
      </c>
      <c r="K135" s="7">
        <f t="shared" si="5"/>
        <v>0</v>
      </c>
      <c r="L135" s="8"/>
      <c r="M135" s="3"/>
      <c r="N135" s="3"/>
      <c r="O135" s="3"/>
      <c r="P135" s="3"/>
      <c r="Q135" s="3"/>
    </row>
    <row r="136" spans="1:17" s="5" customFormat="1" ht="10.050000000000001" customHeight="1" x14ac:dyDescent="0.2">
      <c r="J136" s="11">
        <f>SUBTOTAL(9,J2:J135)</f>
        <v>13905.05084745764</v>
      </c>
      <c r="K136" s="11">
        <f>SUBTOTAL(9,K2:K135)</f>
        <v>2502.9091525423751</v>
      </c>
      <c r="L136" s="11">
        <f>SUM(L2:L135)</f>
        <v>16407.960000000003</v>
      </c>
    </row>
  </sheetData>
  <autoFilter ref="A1:Q135" xr:uid="{620BD549-6BD9-4566-86B2-4950053DB9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 Mariscal Almeyda</cp:lastModifiedBy>
  <dcterms:created xsi:type="dcterms:W3CDTF">2025-12-11T14:54:08Z</dcterms:created>
  <dcterms:modified xsi:type="dcterms:W3CDTF">2025-12-29T16:13:23Z</dcterms:modified>
</cp:coreProperties>
</file>